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grulama" sheetId="1" state="visible" r:id="rId1"/>
    <sheet name="Aci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Senaryo</t>
        </is>
      </c>
      <c r="B1" s="1" t="inlineStr">
        <is>
          <t>Makine</t>
        </is>
      </c>
      <c r="C1" s="1" t="inlineStr">
        <is>
          <t>Gün</t>
        </is>
      </c>
      <c r="D1" s="1" t="inlineStr">
        <is>
          <t>Mod</t>
        </is>
      </c>
      <c r="E1" s="1" t="inlineStr">
        <is>
          <t>s</t>
        </is>
      </c>
      <c r="F1" s="1" t="inlineStr">
        <is>
          <t>L</t>
        </is>
      </c>
      <c r="G1" s="1" t="inlineStr">
        <is>
          <t>t</t>
        </is>
      </c>
      <c r="H1" s="1" t="inlineStr">
        <is>
          <t>p</t>
        </is>
      </c>
      <c r="I1" s="1" t="inlineStr">
        <is>
          <t>B Excel</t>
        </is>
      </c>
      <c r="J1" s="1" t="inlineStr">
        <is>
          <t>S Excel</t>
        </is>
      </c>
      <c r="K1" s="1" t="inlineStr">
        <is>
          <t>Delta % Excel</t>
        </is>
      </c>
      <c r="L1" s="1" t="inlineStr">
        <is>
          <t>B Python</t>
        </is>
      </c>
      <c r="M1" s="1" t="inlineStr">
        <is>
          <t>S Python</t>
        </is>
      </c>
      <c r="N1" s="1" t="inlineStr">
        <is>
          <t>Delta % Python</t>
        </is>
      </c>
      <c r="O1" s="1" t="inlineStr">
        <is>
          <t>fark B</t>
        </is>
      </c>
      <c r="P1" s="1" t="inlineStr">
        <is>
          <t>fark S</t>
        </is>
      </c>
      <c r="Q1" s="1" t="inlineStr">
        <is>
          <t>fark Delta %</t>
        </is>
      </c>
      <c r="R1" s="1" t="inlineStr">
        <is>
          <t>kWh_0</t>
        </is>
      </c>
      <c r="S1" s="1" t="inlineStr">
        <is>
          <t>kWh_1</t>
        </is>
      </c>
      <c r="T1" s="1" t="inlineStr">
        <is>
          <t>kWh_2</t>
        </is>
      </c>
      <c r="U1" s="1" t="inlineStr">
        <is>
          <t>kWh_3</t>
        </is>
      </c>
      <c r="V1" s="1" t="inlineStr">
        <is>
          <t>kWh_4</t>
        </is>
      </c>
      <c r="W1" s="1" t="inlineStr">
        <is>
          <t>kWh_5</t>
        </is>
      </c>
      <c r="X1" s="1" t="inlineStr">
        <is>
          <t>kWh_6</t>
        </is>
      </c>
      <c r="Y1" s="1" t="inlineStr">
        <is>
          <t>kWh_7</t>
        </is>
      </c>
      <c r="Z1" s="1" t="inlineStr">
        <is>
          <t>kWh_8</t>
        </is>
      </c>
      <c r="AA1" s="1" t="inlineStr">
        <is>
          <t>kWh_9</t>
        </is>
      </c>
      <c r="AB1" s="1" t="inlineStr">
        <is>
          <t>kWh_10</t>
        </is>
      </c>
      <c r="AC1" s="1" t="inlineStr">
        <is>
          <t>kWh_11</t>
        </is>
      </c>
      <c r="AD1" s="1" t="inlineStr">
        <is>
          <t>kWh_12</t>
        </is>
      </c>
      <c r="AE1" s="1" t="inlineStr">
        <is>
          <t>kWh_13</t>
        </is>
      </c>
      <c r="AF1" s="1" t="inlineStr">
        <is>
          <t>kWh_14</t>
        </is>
      </c>
      <c r="AG1" s="1" t="inlineStr">
        <is>
          <t>kWh_15</t>
        </is>
      </c>
      <c r="AH1" s="1" t="inlineStr">
        <is>
          <t>kWh_16</t>
        </is>
      </c>
      <c r="AI1" s="1" t="inlineStr">
        <is>
          <t>kWh_17</t>
        </is>
      </c>
      <c r="AJ1" s="1" t="inlineStr">
        <is>
          <t>kWh_18</t>
        </is>
      </c>
      <c r="AK1" s="1" t="inlineStr">
        <is>
          <t>kWh_19</t>
        </is>
      </c>
      <c r="AL1" s="1" t="inlineStr">
        <is>
          <t>kWh_20</t>
        </is>
      </c>
      <c r="AM1" s="1" t="inlineStr">
        <is>
          <t>kWh_21</t>
        </is>
      </c>
      <c r="AN1" s="1" t="inlineStr">
        <is>
          <t>kWh_22</t>
        </is>
      </c>
      <c r="AO1" s="1" t="inlineStr">
        <is>
          <t>kWh_23</t>
        </is>
      </c>
      <c r="AP1" s="1" t="inlineStr">
        <is>
          <t>CI_0</t>
        </is>
      </c>
      <c r="AQ1" s="1" t="inlineStr">
        <is>
          <t>CI_1</t>
        </is>
      </c>
      <c r="AR1" s="1" t="inlineStr">
        <is>
          <t>CI_2</t>
        </is>
      </c>
      <c r="AS1" s="1" t="inlineStr">
        <is>
          <t>CI_3</t>
        </is>
      </c>
      <c r="AT1" s="1" t="inlineStr">
        <is>
          <t>CI_4</t>
        </is>
      </c>
      <c r="AU1" s="1" t="inlineStr">
        <is>
          <t>CI_5</t>
        </is>
      </c>
      <c r="AV1" s="1" t="inlineStr">
        <is>
          <t>CI_6</t>
        </is>
      </c>
      <c r="AW1" s="1" t="inlineStr">
        <is>
          <t>CI_7</t>
        </is>
      </c>
      <c r="AX1" s="1" t="inlineStr">
        <is>
          <t>CI_8</t>
        </is>
      </c>
      <c r="AY1" s="1" t="inlineStr">
        <is>
          <t>CI_9</t>
        </is>
      </c>
      <c r="AZ1" s="1" t="inlineStr">
        <is>
          <t>CI_10</t>
        </is>
      </c>
      <c r="BA1" s="1" t="inlineStr">
        <is>
          <t>CI_11</t>
        </is>
      </c>
      <c r="BB1" s="1" t="inlineStr">
        <is>
          <t>CI_12</t>
        </is>
      </c>
      <c r="BC1" s="1" t="inlineStr">
        <is>
          <t>CI_13</t>
        </is>
      </c>
      <c r="BD1" s="1" t="inlineStr">
        <is>
          <t>CI_14</t>
        </is>
      </c>
      <c r="BE1" s="1" t="inlineStr">
        <is>
          <t>CI_15</t>
        </is>
      </c>
      <c r="BF1" s="1" t="inlineStr">
        <is>
          <t>CI_16</t>
        </is>
      </c>
      <c r="BG1" s="1" t="inlineStr">
        <is>
          <t>CI_17</t>
        </is>
      </c>
      <c r="BH1" s="1" t="inlineStr">
        <is>
          <t>CI_18</t>
        </is>
      </c>
      <c r="BI1" s="1" t="inlineStr">
        <is>
          <t>CI_19</t>
        </is>
      </c>
      <c r="BJ1" s="1" t="inlineStr">
        <is>
          <t>CI_20</t>
        </is>
      </c>
      <c r="BK1" s="1" t="inlineStr">
        <is>
          <t>CI_21</t>
        </is>
      </c>
      <c r="BL1" s="1" t="inlineStr">
        <is>
          <t>CI_22</t>
        </is>
      </c>
      <c r="BM1" s="1" t="inlineStr">
        <is>
          <t>CI_23</t>
        </is>
      </c>
    </row>
    <row r="2">
      <c r="A2" t="inlineStr">
        <is>
          <t>G07</t>
        </is>
      </c>
      <c r="B2" t="inlineStr">
        <is>
          <t>u_e</t>
        </is>
      </c>
      <c r="C2" t="inlineStr">
        <is>
          <t>2025-03-22</t>
        </is>
      </c>
      <c r="D2" t="inlineStr">
        <is>
          <t>parametric</t>
        </is>
      </c>
      <c r="E2" t="n">
        <v>2</v>
      </c>
      <c r="F2" t="n">
        <v>6</v>
      </c>
      <c r="G2" t="n">
        <v>1</v>
      </c>
      <c r="H2" t="n">
        <v>0.6</v>
      </c>
      <c r="I2" s="2">
        <f>SUMPRODUCT(H2*OFFSET($R2,0,E2,1,F2),OFFSET($AP2,0,E2,1,F2))</f>
        <v/>
      </c>
      <c r="J2" s="2">
        <f>SUMPRODUCT(H2*OFFSET($R2,0,E2,1,F2),OFFSET($AP2,0,G2,1,F2))</f>
        <v/>
      </c>
      <c r="K2" s="2">
        <f>(J2-I2)/I2*100</f>
        <v/>
      </c>
      <c r="L2" s="2" t="n">
        <v>64.94529779999999</v>
      </c>
      <c r="M2" s="2" t="n">
        <v>63.6967152</v>
      </c>
      <c r="N2" s="2" t="n">
        <v>-1.922514242439877</v>
      </c>
      <c r="O2" s="3">
        <f>ROUND(I2-L2,2)</f>
        <v/>
      </c>
      <c r="P2" s="3">
        <f>ROUND(J2-M2,2)</f>
        <v/>
      </c>
      <c r="Q2" s="3">
        <f>ROUND(K2-N2,2)</f>
        <v/>
      </c>
      <c r="R2" t="n">
        <v>40.5</v>
      </c>
      <c r="S2" t="n">
        <v>40.5</v>
      </c>
      <c r="T2" t="n">
        <v>40.5</v>
      </c>
      <c r="U2" t="n">
        <v>40.5</v>
      </c>
      <c r="V2" t="n">
        <v>40.5</v>
      </c>
      <c r="W2" t="n">
        <v>40.5</v>
      </c>
      <c r="X2" t="n">
        <v>40.5</v>
      </c>
      <c r="Y2" t="n">
        <v>40.5</v>
      </c>
      <c r="Z2" t="n">
        <v>40.5</v>
      </c>
      <c r="AA2" t="n">
        <v>40.5</v>
      </c>
      <c r="AB2" t="n">
        <v>40.5</v>
      </c>
      <c r="AC2" t="n">
        <v>40.5</v>
      </c>
      <c r="AD2" t="n">
        <v>40.5</v>
      </c>
      <c r="AE2" t="n">
        <v>40.5</v>
      </c>
      <c r="AF2" t="n">
        <v>40.5</v>
      </c>
      <c r="AG2" t="n">
        <v>40.5</v>
      </c>
      <c r="AH2" t="n">
        <v>40.5</v>
      </c>
      <c r="AI2" t="n">
        <v>40.5</v>
      </c>
      <c r="AJ2" t="n">
        <v>40.5</v>
      </c>
      <c r="AK2" t="n">
        <v>40.5</v>
      </c>
      <c r="AL2" t="n">
        <v>40.5</v>
      </c>
      <c r="AM2" t="n">
        <v>40.5</v>
      </c>
      <c r="AN2" t="n">
        <v>40.5</v>
      </c>
      <c r="AO2" t="n">
        <v>40.5</v>
      </c>
      <c r="AP2" t="n">
        <v>0.408845</v>
      </c>
      <c r="AQ2" t="n">
        <v>0.42279</v>
      </c>
      <c r="AR2" t="n">
        <v>0.433648</v>
      </c>
      <c r="AS2" t="n">
        <v>0.438375</v>
      </c>
      <c r="AT2" t="n">
        <v>0.432427</v>
      </c>
      <c r="AU2" t="n">
        <v>0.436934</v>
      </c>
      <c r="AV2" t="n">
        <v>0.45709</v>
      </c>
      <c r="AW2" t="n">
        <v>0.474172</v>
      </c>
      <c r="AX2" t="n">
        <v>0.460995</v>
      </c>
      <c r="AY2" t="n">
        <v>0.455093</v>
      </c>
      <c r="AZ2" t="n">
        <v>0.451649</v>
      </c>
      <c r="BA2" t="n">
        <v>0.447335</v>
      </c>
      <c r="BB2" t="n">
        <v>0.443578</v>
      </c>
      <c r="BC2" t="n">
        <v>0.441021</v>
      </c>
      <c r="BD2" t="n">
        <v>0.439632</v>
      </c>
      <c r="BE2" t="n">
        <v>0.446696</v>
      </c>
      <c r="BF2" t="n">
        <v>0.441955</v>
      </c>
      <c r="BG2" t="n">
        <v>0.42407</v>
      </c>
      <c r="BH2" t="n">
        <v>0.383007</v>
      </c>
      <c r="BI2" t="n">
        <v>0.372625</v>
      </c>
      <c r="BJ2" t="n">
        <v>0.367104</v>
      </c>
      <c r="BK2" t="n">
        <v>0.375267</v>
      </c>
      <c r="BL2" t="n">
        <v>0.391367</v>
      </c>
      <c r="BM2" t="n">
        <v>0.408806</v>
      </c>
    </row>
    <row r="3">
      <c r="A3" t="inlineStr">
        <is>
          <t>G08</t>
        </is>
      </c>
      <c r="B3" t="inlineStr">
        <is>
          <t>comp_b</t>
        </is>
      </c>
      <c r="C3" t="inlineStr">
        <is>
          <t>2025-07-18</t>
        </is>
      </c>
      <c r="D3" t="inlineStr">
        <is>
          <t>parametric</t>
        </is>
      </c>
      <c r="E3" t="n">
        <v>14</v>
      </c>
      <c r="F3" t="n">
        <v>2</v>
      </c>
      <c r="G3" t="n">
        <v>12</v>
      </c>
      <c r="H3" t="n">
        <v>0.75</v>
      </c>
      <c r="I3" s="2">
        <f>SUMPRODUCT(H3*OFFSET($R3,0,E3,1,F3),OFFSET($AP3,0,E3,1,F3))</f>
        <v/>
      </c>
      <c r="J3" s="2">
        <f>SUMPRODUCT(H3*OFFSET($R3,0,E3,1,F3),OFFSET($AP3,0,G3,1,F3))</f>
        <v/>
      </c>
      <c r="K3" s="2">
        <f>(J3-I3)/I3*100</f>
        <v/>
      </c>
      <c r="L3" s="2" t="n">
        <v>26.79251175</v>
      </c>
      <c r="M3" s="2" t="n">
        <v>28.762664625</v>
      </c>
      <c r="N3" s="2" t="n">
        <v>7.353371320253317</v>
      </c>
      <c r="O3" s="3">
        <f>ROUND(I3-L3,2)</f>
        <v/>
      </c>
      <c r="P3" s="3">
        <f>ROUND(J3-M3,2)</f>
        <v/>
      </c>
      <c r="Q3" s="3">
        <f>ROUND(K3-N3,2)</f>
        <v/>
      </c>
      <c r="R3" t="n">
        <v>40.5</v>
      </c>
      <c r="S3" t="n">
        <v>40.5</v>
      </c>
      <c r="T3" t="n">
        <v>40.5</v>
      </c>
      <c r="U3" t="n">
        <v>40.5</v>
      </c>
      <c r="V3" t="n">
        <v>40.5</v>
      </c>
      <c r="W3" t="n">
        <v>40.5</v>
      </c>
      <c r="X3" t="n">
        <v>40.5</v>
      </c>
      <c r="Y3" t="n">
        <v>40.5</v>
      </c>
      <c r="Z3" t="n">
        <v>40.5</v>
      </c>
      <c r="AA3" t="n">
        <v>40.5</v>
      </c>
      <c r="AB3" t="n">
        <v>40.5</v>
      </c>
      <c r="AC3" t="n">
        <v>40.5</v>
      </c>
      <c r="AD3" t="n">
        <v>40.5</v>
      </c>
      <c r="AE3" t="n">
        <v>40.5</v>
      </c>
      <c r="AF3" t="n">
        <v>40.5</v>
      </c>
      <c r="AG3" t="n">
        <v>40.5</v>
      </c>
      <c r="AH3" t="n">
        <v>40.5</v>
      </c>
      <c r="AI3" t="n">
        <v>40.5</v>
      </c>
      <c r="AJ3" t="n">
        <v>40.5</v>
      </c>
      <c r="AK3" t="n">
        <v>40.5</v>
      </c>
      <c r="AL3" t="n">
        <v>40.5</v>
      </c>
      <c r="AM3" t="n">
        <v>40.5</v>
      </c>
      <c r="AN3" t="n">
        <v>40.5</v>
      </c>
      <c r="AO3" t="n">
        <v>40.5</v>
      </c>
      <c r="AP3" t="n">
        <v>0.447412</v>
      </c>
      <c r="AQ3" t="n">
        <v>0.463994</v>
      </c>
      <c r="AR3" t="n">
        <v>0.485449</v>
      </c>
      <c r="AS3" t="n">
        <v>0.499448</v>
      </c>
      <c r="AT3" t="n">
        <v>0.500545</v>
      </c>
      <c r="AU3" t="n">
        <v>0.508383</v>
      </c>
      <c r="AV3" t="n">
        <v>0.523932</v>
      </c>
      <c r="AW3" t="n">
        <v>0.512697</v>
      </c>
      <c r="AX3" t="n">
        <v>0.481781</v>
      </c>
      <c r="AY3" t="n">
        <v>0.469754</v>
      </c>
      <c r="AZ3" t="n">
        <v>0.472303</v>
      </c>
      <c r="BA3" t="n">
        <v>0.468422</v>
      </c>
      <c r="BB3" t="n">
        <v>0.475346</v>
      </c>
      <c r="BC3" t="n">
        <v>0.471573</v>
      </c>
      <c r="BD3" t="n">
        <v>0.446781</v>
      </c>
      <c r="BE3" t="n">
        <v>0.435277</v>
      </c>
      <c r="BF3" t="n">
        <v>0.423406</v>
      </c>
      <c r="BG3" t="n">
        <v>0.415604</v>
      </c>
      <c r="BH3" t="n">
        <v>0.413136</v>
      </c>
      <c r="BI3" t="n">
        <v>0.409402</v>
      </c>
      <c r="BJ3" t="n">
        <v>0.401153</v>
      </c>
      <c r="BK3" t="n">
        <v>0.401847</v>
      </c>
      <c r="BL3" t="n">
        <v>0.417156</v>
      </c>
      <c r="BM3" t="n">
        <v>0.43545</v>
      </c>
    </row>
    <row r="4">
      <c r="A4" t="inlineStr">
        <is>
          <t>G13</t>
        </is>
      </c>
      <c r="B4" t="inlineStr">
        <is>
          <t>comp_b</t>
        </is>
      </c>
      <c r="C4" t="inlineStr">
        <is>
          <t>2025-11-13</t>
        </is>
      </c>
      <c r="D4" t="inlineStr">
        <is>
          <t>data</t>
        </is>
      </c>
      <c r="E4" t="n">
        <v>13</v>
      </c>
      <c r="F4" t="n">
        <v>4</v>
      </c>
      <c r="G4" t="n">
        <v>14</v>
      </c>
      <c r="H4" t="n">
        <v>0.6</v>
      </c>
      <c r="I4" s="2">
        <f>SUMPRODUCT(H4*OFFSET($R4,0,E4,1,F4),OFFSET($AP4,0,E4,1,F4))</f>
        <v/>
      </c>
      <c r="J4" s="2">
        <f>SUMPRODUCT(H4*OFFSET($R4,0,E4,1,F4),OFFSET($AP4,0,G4,1,F4))</f>
        <v/>
      </c>
      <c r="K4" s="2">
        <f>(J4-I4)/I4*100</f>
        <v/>
      </c>
      <c r="L4" s="2" t="n">
        <v>0.02300020398</v>
      </c>
      <c r="M4" s="2" t="n">
        <v>0.02209148172</v>
      </c>
      <c r="N4" s="2" t="n">
        <v>-3.950931308218777</v>
      </c>
      <c r="O4" s="3">
        <f>ROUND(I4-L4,2)</f>
        <v/>
      </c>
      <c r="P4" s="3">
        <f>ROUND(J4-M4,2)</f>
        <v/>
      </c>
      <c r="Q4" s="3">
        <f>ROUND(K4-N4,2)</f>
        <v/>
      </c>
      <c r="R4" t="n">
        <v>0.0086</v>
      </c>
      <c r="S4" t="n">
        <v>0.0101</v>
      </c>
      <c r="T4" t="n">
        <v>0.008</v>
      </c>
      <c r="U4" t="n">
        <v>0.005</v>
      </c>
      <c r="V4" t="n">
        <v>0.0049</v>
      </c>
      <c r="W4" t="n">
        <v>0.0069</v>
      </c>
      <c r="X4" t="n">
        <v>0.0098</v>
      </c>
      <c r="Y4" t="n">
        <v>0.0164</v>
      </c>
      <c r="Z4" t="n">
        <v>0.0142</v>
      </c>
      <c r="AA4" t="n">
        <v>0.0158</v>
      </c>
      <c r="AB4" t="n">
        <v>0.0193</v>
      </c>
      <c r="AC4" t="n">
        <v>0.0232</v>
      </c>
      <c r="AD4" t="n">
        <v>0.021</v>
      </c>
      <c r="AE4" t="n">
        <v>0.0168</v>
      </c>
      <c r="AF4" t="n">
        <v>0.0239</v>
      </c>
      <c r="AG4" t="n">
        <v>0.0187</v>
      </c>
      <c r="AH4" t="n">
        <v>0.0158</v>
      </c>
      <c r="AI4" t="n">
        <v>0.0122</v>
      </c>
      <c r="AJ4" t="n">
        <v>0.0205</v>
      </c>
      <c r="AK4" t="n">
        <v>0.0188</v>
      </c>
      <c r="AL4" t="n">
        <v>0.0169</v>
      </c>
      <c r="AM4" t="n">
        <v>0.0145</v>
      </c>
      <c r="AN4" t="n">
        <v>0.0166</v>
      </c>
      <c r="AO4" t="n">
        <v>0.0165</v>
      </c>
      <c r="AP4" t="n">
        <v>0.538509</v>
      </c>
      <c r="AQ4" t="n">
        <v>0.558403</v>
      </c>
      <c r="AR4" t="n">
        <v>0.573474</v>
      </c>
      <c r="AS4" t="n">
        <v>0.579328</v>
      </c>
      <c r="AT4" t="n">
        <v>0.58244</v>
      </c>
      <c r="AU4" t="n">
        <v>0.579053</v>
      </c>
      <c r="AV4" t="n">
        <v>0.569587</v>
      </c>
      <c r="AW4" t="n">
        <v>0.548284</v>
      </c>
      <c r="AX4" t="n">
        <v>0.505748</v>
      </c>
      <c r="AY4" t="n">
        <v>0.500042</v>
      </c>
      <c r="AZ4" t="n">
        <v>0.512868</v>
      </c>
      <c r="BA4" t="n">
        <v>0.51455</v>
      </c>
      <c r="BB4" t="n">
        <v>0.531633</v>
      </c>
      <c r="BC4" t="n">
        <v>0.529931</v>
      </c>
      <c r="BD4" t="n">
        <v>0.520077</v>
      </c>
      <c r="BE4" t="n">
        <v>0.50717</v>
      </c>
      <c r="BF4" t="n">
        <v>0.475754</v>
      </c>
      <c r="BG4" t="n">
        <v>0.447081</v>
      </c>
      <c r="BH4" t="n">
        <v>0.448745</v>
      </c>
      <c r="BI4" t="n">
        <v>0.462239</v>
      </c>
      <c r="BJ4" t="n">
        <v>0.472346</v>
      </c>
      <c r="BK4" t="n">
        <v>0.483697</v>
      </c>
      <c r="BL4" t="n">
        <v>0.486381</v>
      </c>
      <c r="BM4" t="n">
        <v>0.499914</v>
      </c>
    </row>
    <row r="5">
      <c r="A5" t="inlineStr">
        <is>
          <t>G14</t>
        </is>
      </c>
      <c r="B5" t="inlineStr">
        <is>
          <t>u_e</t>
        </is>
      </c>
      <c r="C5" t="inlineStr">
        <is>
          <t>2025-01-05</t>
        </is>
      </c>
      <c r="D5" t="inlineStr">
        <is>
          <t>data</t>
        </is>
      </c>
      <c r="E5" t="n">
        <v>9</v>
      </c>
      <c r="F5" t="n">
        <v>2</v>
      </c>
      <c r="G5" t="n">
        <v>6</v>
      </c>
      <c r="H5" t="n">
        <v>1</v>
      </c>
      <c r="I5" s="2">
        <f>SUMPRODUCT(H5*OFFSET($R5,0,E5,1,F5),OFFSET($AP5,0,E5,1,F5))</f>
        <v/>
      </c>
      <c r="J5" s="2">
        <f>SUMPRODUCT(H5*OFFSET($R5,0,E5,1,F5),OFFSET($AP5,0,G5,1,F5))</f>
        <v/>
      </c>
      <c r="K5" s="2">
        <f>(J5-I5)/I5*100</f>
        <v/>
      </c>
      <c r="L5" s="2" t="n">
        <v>1.4696088524</v>
      </c>
      <c r="M5" s="2" t="n">
        <v>1.4767662906</v>
      </c>
      <c r="N5" s="2" t="n">
        <v>0.4870301501186129</v>
      </c>
      <c r="O5" s="3">
        <f>ROUND(I5-L5,2)</f>
        <v/>
      </c>
      <c r="P5" s="3">
        <f>ROUND(J5-M5,2)</f>
        <v/>
      </c>
      <c r="Q5" s="3">
        <f>ROUND(K5-N5,2)</f>
        <v/>
      </c>
      <c r="R5" t="n">
        <v>1.9246</v>
      </c>
      <c r="S5" t="n">
        <v>1.901</v>
      </c>
      <c r="T5" t="n">
        <v>1.898</v>
      </c>
      <c r="U5" t="n">
        <v>1.8993</v>
      </c>
      <c r="V5" t="n">
        <v>1.9008</v>
      </c>
      <c r="W5" t="n">
        <v>1.9028</v>
      </c>
      <c r="X5" t="n">
        <v>1.9002</v>
      </c>
      <c r="Y5" t="n">
        <v>1.8977</v>
      </c>
      <c r="Z5" t="n">
        <v>1.8953</v>
      </c>
      <c r="AA5" t="n">
        <v>1.8422</v>
      </c>
      <c r="AB5" t="n">
        <v>0.9276</v>
      </c>
      <c r="AC5" t="n">
        <v>1.1601</v>
      </c>
      <c r="AD5" t="n">
        <v>0.859</v>
      </c>
      <c r="AE5" t="n">
        <v>0.8621</v>
      </c>
      <c r="AF5" t="n">
        <v>0.8615</v>
      </c>
      <c r="AG5" t="n">
        <v>0.8615</v>
      </c>
      <c r="AH5" t="n">
        <v>1.4344</v>
      </c>
      <c r="AI5" t="n">
        <v>1.895</v>
      </c>
      <c r="AJ5" t="n">
        <v>1.8939</v>
      </c>
      <c r="AK5" t="n">
        <v>1.8945</v>
      </c>
      <c r="AL5" t="n">
        <v>1.897</v>
      </c>
      <c r="AM5" t="n">
        <v>1.8998</v>
      </c>
      <c r="AN5" t="n">
        <v>1.8976</v>
      </c>
      <c r="AO5" t="n">
        <v>1.9156</v>
      </c>
      <c r="AP5" t="n">
        <v>0.464217</v>
      </c>
      <c r="AQ5" t="n">
        <v>0.484398</v>
      </c>
      <c r="AR5" t="n">
        <v>0.501629</v>
      </c>
      <c r="AS5" t="n">
        <v>0.514029</v>
      </c>
      <c r="AT5" t="n">
        <v>0.52045</v>
      </c>
      <c r="AU5" t="n">
        <v>0.527232</v>
      </c>
      <c r="AV5" t="n">
        <v>0.532071</v>
      </c>
      <c r="AW5" t="n">
        <v>0.535344</v>
      </c>
      <c r="AX5" t="n">
        <v>0.541968</v>
      </c>
      <c r="AY5" t="n">
        <v>0.531292</v>
      </c>
      <c r="AZ5" t="n">
        <v>0.529175</v>
      </c>
      <c r="BA5" t="n">
        <v>0.532218</v>
      </c>
      <c r="BB5" t="n">
        <v>0.529138</v>
      </c>
      <c r="BC5" t="n">
        <v>0.5231789999999999</v>
      </c>
      <c r="BD5" t="n">
        <v>0.513942</v>
      </c>
      <c r="BE5" t="n">
        <v>0.500984</v>
      </c>
      <c r="BF5" t="n">
        <v>0.491895</v>
      </c>
      <c r="BG5" t="n">
        <v>0.466822</v>
      </c>
      <c r="BH5" t="n">
        <v>0.452186</v>
      </c>
      <c r="BI5" t="n">
        <v>0.457794</v>
      </c>
      <c r="BJ5" t="n">
        <v>0.464767</v>
      </c>
      <c r="BK5" t="n">
        <v>0.472948</v>
      </c>
      <c r="BL5" t="n">
        <v>0.468802</v>
      </c>
      <c r="BM5" t="n">
        <v>0.480421</v>
      </c>
    </row>
    <row r="6">
      <c r="A6" t="inlineStr">
        <is>
          <t>G15</t>
        </is>
      </c>
      <c r="B6" t="inlineStr">
        <is>
          <t>comp_b</t>
        </is>
      </c>
      <c r="C6" t="inlineStr">
        <is>
          <t>2025-10-02</t>
        </is>
      </c>
      <c r="D6" t="inlineStr">
        <is>
          <t>data</t>
        </is>
      </c>
      <c r="E6" t="n">
        <v>18</v>
      </c>
      <c r="F6" t="n">
        <v>1</v>
      </c>
      <c r="G6" t="n">
        <v>15</v>
      </c>
      <c r="H6" t="n">
        <v>0.25</v>
      </c>
      <c r="I6" s="2">
        <f>SUMPRODUCT(H6*OFFSET($R6,0,E6,1,F6),OFFSET($AP6,0,E6,1,F6))</f>
        <v/>
      </c>
      <c r="J6" s="2">
        <f>SUMPRODUCT(H6*OFFSET($R6,0,E6,1,F6),OFFSET($AP6,0,G6,1,F6))</f>
        <v/>
      </c>
      <c r="K6" s="2">
        <f>(J6-I6)/I6*100</f>
        <v/>
      </c>
      <c r="L6" s="2" t="n">
        <v>3.4466915711</v>
      </c>
      <c r="M6" s="2" t="n">
        <v>3.83847751005</v>
      </c>
      <c r="N6" s="2" t="n">
        <v>11.3670147406013</v>
      </c>
      <c r="O6" s="3">
        <f>ROUND(I6-L6,2)</f>
        <v/>
      </c>
      <c r="P6" s="3">
        <f>ROUND(J6-M6,2)</f>
        <v/>
      </c>
      <c r="Q6" s="3">
        <f>ROUND(K6-N6,2)</f>
        <v/>
      </c>
      <c r="R6" t="n">
        <v>30.8727</v>
      </c>
      <c r="S6" t="n">
        <v>30.6862</v>
      </c>
      <c r="T6" t="n">
        <v>28.9847</v>
      </c>
      <c r="U6" t="n">
        <v>30.9028</v>
      </c>
      <c r="V6" t="n">
        <v>27.5366</v>
      </c>
      <c r="W6" t="n">
        <v>26.039</v>
      </c>
      <c r="X6" t="n">
        <v>33.3698</v>
      </c>
      <c r="Y6" t="n">
        <v>36.8472</v>
      </c>
      <c r="Z6" t="n">
        <v>42.2698</v>
      </c>
      <c r="AA6" t="n">
        <v>39.1194</v>
      </c>
      <c r="AB6" t="n">
        <v>42.8544</v>
      </c>
      <c r="AC6" t="n">
        <v>41.4341</v>
      </c>
      <c r="AD6" t="n">
        <v>66.3108</v>
      </c>
      <c r="AE6" t="n">
        <v>44.6067</v>
      </c>
      <c r="AF6" t="n">
        <v>32.2914</v>
      </c>
      <c r="AG6" t="n">
        <v>32.4275</v>
      </c>
      <c r="AH6" t="n">
        <v>27.5388</v>
      </c>
      <c r="AI6" t="n">
        <v>30.3146</v>
      </c>
      <c r="AJ6" t="n">
        <v>31.7242</v>
      </c>
      <c r="AK6" t="n">
        <v>29.7943</v>
      </c>
      <c r="AL6" t="n">
        <v>28.5562</v>
      </c>
      <c r="AM6" t="n">
        <v>30.3328</v>
      </c>
      <c r="AN6" t="n">
        <v>30.0798</v>
      </c>
      <c r="AO6" t="n">
        <v>26.3104</v>
      </c>
      <c r="AP6" t="n">
        <v>0.489895</v>
      </c>
      <c r="AQ6" t="n">
        <v>0.5089</v>
      </c>
      <c r="AR6" t="n">
        <v>0.52925</v>
      </c>
      <c r="AS6" t="n">
        <v>0.528922</v>
      </c>
      <c r="AT6" t="n">
        <v>0.533029</v>
      </c>
      <c r="AU6" t="n">
        <v>0.532621</v>
      </c>
      <c r="AV6" t="n">
        <v>0.524467</v>
      </c>
      <c r="AW6" t="n">
        <v>0.511398</v>
      </c>
      <c r="AX6" t="n">
        <v>0.493137</v>
      </c>
      <c r="AY6" t="n">
        <v>0.49746</v>
      </c>
      <c r="AZ6" t="n">
        <v>0.482806</v>
      </c>
      <c r="BA6" t="n">
        <v>0.467269</v>
      </c>
      <c r="BB6" t="n">
        <v>0.458391</v>
      </c>
      <c r="BC6" t="n">
        <v>0.46759</v>
      </c>
      <c r="BD6" t="n">
        <v>0.48507</v>
      </c>
      <c r="BE6" t="n">
        <v>0.483981</v>
      </c>
      <c r="BF6" t="n">
        <v>0.472176</v>
      </c>
      <c r="BG6" t="n">
        <v>0.448966</v>
      </c>
      <c r="BH6" t="n">
        <v>0.434582</v>
      </c>
      <c r="BI6" t="n">
        <v>0.428665</v>
      </c>
      <c r="BJ6" t="n">
        <v>0.439573</v>
      </c>
      <c r="BK6" t="n">
        <v>0.459969</v>
      </c>
      <c r="BL6" t="n">
        <v>0.476606</v>
      </c>
      <c r="BM6" t="n">
        <v>0.487661</v>
      </c>
    </row>
    <row r="7">
      <c r="A7" t="inlineStr">
        <is>
          <t>G16</t>
        </is>
      </c>
      <c r="B7" t="inlineStr">
        <is>
          <t>mh_a</t>
        </is>
      </c>
      <c r="C7" t="inlineStr">
        <is>
          <t>2025-01-31</t>
        </is>
      </c>
      <c r="D7" t="inlineStr">
        <is>
          <t>data</t>
        </is>
      </c>
      <c r="E7" t="n">
        <v>2</v>
      </c>
      <c r="F7" t="n">
        <v>5</v>
      </c>
      <c r="G7" t="n">
        <v>5</v>
      </c>
      <c r="H7" t="n">
        <v>1</v>
      </c>
      <c r="I7" s="2">
        <f>SUMPRODUCT(H7*OFFSET($R7,0,E7,1,F7),OFFSET($AP7,0,E7,1,F7))</f>
        <v/>
      </c>
      <c r="J7" s="2">
        <f>SUMPRODUCT(H7*OFFSET($R7,0,E7,1,F7),OFFSET($AP7,0,G7,1,F7))</f>
        <v/>
      </c>
      <c r="K7" s="2">
        <f>(J7-I7)/I7*100</f>
        <v/>
      </c>
      <c r="L7" s="2" t="n">
        <v>1.0806505903</v>
      </c>
      <c r="M7" s="2" t="n">
        <v>1.0065092478</v>
      </c>
      <c r="N7" s="2" t="n">
        <v>-6.86080618152603</v>
      </c>
      <c r="O7" s="3">
        <f>ROUND(I7-L7,2)</f>
        <v/>
      </c>
      <c r="P7" s="3">
        <f>ROUND(J7-M7,2)</f>
        <v/>
      </c>
      <c r="Q7" s="3">
        <f>ROUND(K7-N7,2)</f>
        <v/>
      </c>
      <c r="R7" t="n">
        <v>0.3868</v>
      </c>
      <c r="S7" t="n">
        <v>0.3891</v>
      </c>
      <c r="T7" t="n">
        <v>0.3888</v>
      </c>
      <c r="U7" t="n">
        <v>0.3885</v>
      </c>
      <c r="V7" t="n">
        <v>0.3882</v>
      </c>
      <c r="W7" t="n">
        <v>0.3868</v>
      </c>
      <c r="X7" t="n">
        <v>0.386</v>
      </c>
      <c r="Y7" t="n">
        <v>0.3825</v>
      </c>
      <c r="Z7" t="n">
        <v>0.3791</v>
      </c>
      <c r="AA7" t="n">
        <v>0.3813</v>
      </c>
      <c r="AB7" t="n">
        <v>0.3993</v>
      </c>
      <c r="AC7" t="n">
        <v>0.3986</v>
      </c>
      <c r="AD7" t="n">
        <v>0.3967</v>
      </c>
      <c r="AE7" t="n">
        <v>0.3983</v>
      </c>
      <c r="AF7" t="n">
        <v>0.392</v>
      </c>
      <c r="AG7" t="n">
        <v>0.3905</v>
      </c>
      <c r="AH7" t="n">
        <v>0.3918</v>
      </c>
      <c r="AI7" t="n">
        <v>0.3898</v>
      </c>
      <c r="AJ7" t="n">
        <v>0.3896</v>
      </c>
      <c r="AK7" t="n">
        <v>0.3896</v>
      </c>
      <c r="AL7" t="n">
        <v>0.3908</v>
      </c>
      <c r="AM7" t="n">
        <v>0.3893</v>
      </c>
      <c r="AN7" t="n">
        <v>0.391</v>
      </c>
      <c r="AO7" t="n">
        <v>0.3913</v>
      </c>
      <c r="AP7" t="n">
        <v>0.48759</v>
      </c>
      <c r="AQ7" t="n">
        <v>0.5180129999999999</v>
      </c>
      <c r="AR7" t="n">
        <v>0.539531</v>
      </c>
      <c r="AS7" t="n">
        <v>0.556273</v>
      </c>
      <c r="AT7" t="n">
        <v>0.566431</v>
      </c>
      <c r="AU7" t="n">
        <v>0.567451</v>
      </c>
      <c r="AV7" t="n">
        <v>0.558006</v>
      </c>
      <c r="AW7" t="n">
        <v>0.526474</v>
      </c>
      <c r="AX7" t="n">
        <v>0.473829</v>
      </c>
      <c r="AY7" t="n">
        <v>0.470064</v>
      </c>
      <c r="AZ7" t="n">
        <v>0.496929</v>
      </c>
      <c r="BA7" t="n">
        <v>0.501074</v>
      </c>
      <c r="BB7" t="n">
        <v>0.518444</v>
      </c>
      <c r="BC7" t="n">
        <v>0.524234</v>
      </c>
      <c r="BD7" t="n">
        <v>0.516405</v>
      </c>
      <c r="BE7" t="n">
        <v>0.501871</v>
      </c>
      <c r="BF7" t="n">
        <v>0.481839</v>
      </c>
      <c r="BG7" t="n">
        <v>0.449917</v>
      </c>
      <c r="BH7" t="n">
        <v>0.436473</v>
      </c>
      <c r="BI7" t="n">
        <v>0.437508</v>
      </c>
      <c r="BJ7" t="n">
        <v>0.44796</v>
      </c>
      <c r="BK7" t="n">
        <v>0.458363</v>
      </c>
      <c r="BL7" t="n">
        <v>0.470872</v>
      </c>
      <c r="BM7" t="n">
        <v>0.48363</v>
      </c>
    </row>
    <row r="8">
      <c r="A8" t="inlineStr">
        <is>
          <t>G17</t>
        </is>
      </c>
      <c r="B8" t="inlineStr">
        <is>
          <t>mh_a</t>
        </is>
      </c>
      <c r="C8" t="inlineStr">
        <is>
          <t>2025-07-04</t>
        </is>
      </c>
      <c r="D8" t="inlineStr">
        <is>
          <t>data</t>
        </is>
      </c>
      <c r="E8" t="n">
        <v>7</v>
      </c>
      <c r="F8" t="n">
        <v>5</v>
      </c>
      <c r="G8" t="n">
        <v>18</v>
      </c>
      <c r="H8" t="n">
        <v>0.25</v>
      </c>
      <c r="I8" s="2">
        <f>SUMPRODUCT(H8*OFFSET($R8,0,E8,1,F8),OFFSET($AP8,0,E8,1,F8))</f>
        <v/>
      </c>
      <c r="J8" s="2">
        <f>SUMPRODUCT(H8*OFFSET($R8,0,E8,1,F8),OFFSET($AP8,0,G8,1,F8))</f>
        <v/>
      </c>
      <c r="K8" s="2">
        <f>(J8-I8)/I8*100</f>
        <v/>
      </c>
      <c r="L8" s="2" t="n">
        <v>0.25236041795</v>
      </c>
      <c r="M8" s="2" t="n">
        <v>0.229258295375</v>
      </c>
      <c r="N8" s="2" t="n">
        <v>-9.154416038246222</v>
      </c>
      <c r="O8" s="3">
        <f>ROUND(I8-L8,2)</f>
        <v/>
      </c>
      <c r="P8" s="3">
        <f>ROUND(J8-M8,2)</f>
        <v/>
      </c>
      <c r="Q8" s="3">
        <f>ROUND(K8-N8,2)</f>
        <v/>
      </c>
      <c r="R8" t="n">
        <v>0.85</v>
      </c>
      <c r="S8" t="n">
        <v>0.8495</v>
      </c>
      <c r="T8" t="n">
        <v>0.852</v>
      </c>
      <c r="U8" t="n">
        <v>0.8504</v>
      </c>
      <c r="V8" t="n">
        <v>0.848</v>
      </c>
      <c r="W8" t="n">
        <v>0.8411999999999999</v>
      </c>
      <c r="X8" t="n">
        <v>0.6022</v>
      </c>
      <c r="Y8" t="n">
        <v>0.419</v>
      </c>
      <c r="Z8" t="n">
        <v>0.4157</v>
      </c>
      <c r="AA8" t="n">
        <v>0.413</v>
      </c>
      <c r="AB8" t="n">
        <v>0.4117</v>
      </c>
      <c r="AC8" t="n">
        <v>0.6345</v>
      </c>
      <c r="AD8" t="n">
        <v>0.535</v>
      </c>
      <c r="AE8" t="n">
        <v>0.5338000000000001</v>
      </c>
      <c r="AF8" t="n">
        <v>0.534</v>
      </c>
      <c r="AG8" t="n">
        <v>0.5353</v>
      </c>
      <c r="AH8" t="n">
        <v>0.5333</v>
      </c>
      <c r="AI8" t="n">
        <v>0.531</v>
      </c>
      <c r="AJ8" t="n">
        <v>0.5313</v>
      </c>
      <c r="AK8" t="n">
        <v>0.5329</v>
      </c>
      <c r="AL8" t="n">
        <v>0.5337</v>
      </c>
      <c r="AM8" t="n">
        <v>0.5322</v>
      </c>
      <c r="AN8" t="n">
        <v>0.529</v>
      </c>
      <c r="AO8" t="n">
        <v>0.5293</v>
      </c>
      <c r="AP8" t="n">
        <v>0.429841</v>
      </c>
      <c r="AQ8" t="n">
        <v>0.444941</v>
      </c>
      <c r="AR8" t="n">
        <v>0.457368</v>
      </c>
      <c r="AS8" t="n">
        <v>0.46762</v>
      </c>
      <c r="AT8" t="n">
        <v>0.467693</v>
      </c>
      <c r="AU8" t="n">
        <v>0.472488</v>
      </c>
      <c r="AV8" t="n">
        <v>0.467775</v>
      </c>
      <c r="AW8" t="n">
        <v>0.457246</v>
      </c>
      <c r="AX8" t="n">
        <v>0.435353</v>
      </c>
      <c r="AY8" t="n">
        <v>0.432131</v>
      </c>
      <c r="AZ8" t="n">
        <v>0.436876</v>
      </c>
      <c r="BA8" t="n">
        <v>0.439003</v>
      </c>
      <c r="BB8" t="n">
        <v>0.440867</v>
      </c>
      <c r="BC8" t="n">
        <v>0.426437</v>
      </c>
      <c r="BD8" t="n">
        <v>0.421771</v>
      </c>
      <c r="BE8" t="n">
        <v>0.422283</v>
      </c>
      <c r="BF8" t="n">
        <v>0.412991</v>
      </c>
      <c r="BG8" t="n">
        <v>0.407003</v>
      </c>
      <c r="BH8" t="n">
        <v>0.404939</v>
      </c>
      <c r="BI8" t="n">
        <v>0.402057</v>
      </c>
      <c r="BJ8" t="n">
        <v>0.392625</v>
      </c>
      <c r="BK8" t="n">
        <v>0.393658</v>
      </c>
      <c r="BL8" t="n">
        <v>0.403476</v>
      </c>
      <c r="BM8" t="n">
        <v>0.415201</v>
      </c>
    </row>
    <row r="9">
      <c r="A9" t="inlineStr">
        <is>
          <t>G18</t>
        </is>
      </c>
      <c r="B9" t="inlineStr">
        <is>
          <t>u_e</t>
        </is>
      </c>
      <c r="C9" t="inlineStr">
        <is>
          <t>2025-09-11</t>
        </is>
      </c>
      <c r="D9" t="inlineStr">
        <is>
          <t>data</t>
        </is>
      </c>
      <c r="E9" t="n">
        <v>6</v>
      </c>
      <c r="F9" t="n">
        <v>3</v>
      </c>
      <c r="G9" t="n">
        <v>21</v>
      </c>
      <c r="H9" t="n">
        <v>0.6</v>
      </c>
      <c r="I9" s="2">
        <f>SUMPRODUCT(H9*OFFSET($R9,0,E9,1,F9),OFFSET($AP9,0,E9,1,F9))</f>
        <v/>
      </c>
      <c r="J9" s="2">
        <f>SUMPRODUCT(H9*OFFSET($R9,0,E9,1,F9),OFFSET($AP9,0,G9,1,F9))</f>
        <v/>
      </c>
      <c r="K9" s="2">
        <f>(J9-I9)/I9*100</f>
        <v/>
      </c>
      <c r="L9" s="2" t="n">
        <v>10.95961279524</v>
      </c>
      <c r="M9" s="2" t="n">
        <v>9.502565926319999</v>
      </c>
      <c r="N9" s="2" t="n">
        <v>-13.29469294346628</v>
      </c>
      <c r="O9" s="3">
        <f>ROUND(I9-L9,2)</f>
        <v/>
      </c>
      <c r="P9" s="3">
        <f>ROUND(J9-M9,2)</f>
        <v/>
      </c>
      <c r="Q9" s="3">
        <f>ROUND(K9-N9,2)</f>
        <v/>
      </c>
      <c r="R9" t="n">
        <v>1.938</v>
      </c>
      <c r="S9" t="n">
        <v>1.9423</v>
      </c>
      <c r="T9" t="n">
        <v>1.9435</v>
      </c>
      <c r="U9" t="n">
        <v>1.9421</v>
      </c>
      <c r="V9" t="n">
        <v>1.9411</v>
      </c>
      <c r="W9" t="n">
        <v>1.9354</v>
      </c>
      <c r="X9" t="n">
        <v>10.5887</v>
      </c>
      <c r="Y9" t="n">
        <v>12.2331</v>
      </c>
      <c r="Z9" t="n">
        <v>12.3672</v>
      </c>
      <c r="AA9" t="n">
        <v>11.6708</v>
      </c>
      <c r="AB9" t="n">
        <v>11.7554</v>
      </c>
      <c r="AC9" t="n">
        <v>11.6634</v>
      </c>
      <c r="AD9" t="n">
        <v>11.6366</v>
      </c>
      <c r="AE9" t="n">
        <v>11.9614</v>
      </c>
      <c r="AF9" t="n">
        <v>11.3995</v>
      </c>
      <c r="AG9" t="n">
        <v>11.0727</v>
      </c>
      <c r="AH9" t="n">
        <v>11.0874</v>
      </c>
      <c r="AI9" t="n">
        <v>11.1343</v>
      </c>
      <c r="AJ9" t="n">
        <v>11.2498</v>
      </c>
      <c r="AK9" t="n">
        <v>12.0219</v>
      </c>
      <c r="AL9" t="n">
        <v>12.0216</v>
      </c>
      <c r="AM9" t="n">
        <v>12.0115</v>
      </c>
      <c r="AN9" t="n">
        <v>11.8632</v>
      </c>
      <c r="AO9" t="n">
        <v>6.656</v>
      </c>
      <c r="AP9" t="n">
        <v>0.48314</v>
      </c>
      <c r="AQ9" t="n">
        <v>0.500947</v>
      </c>
      <c r="AR9" t="n">
        <v>0.514672</v>
      </c>
      <c r="AS9" t="n">
        <v>0.524497</v>
      </c>
      <c r="AT9" t="n">
        <v>0.528816</v>
      </c>
      <c r="AU9" t="n">
        <v>0.526414</v>
      </c>
      <c r="AV9" t="n">
        <v>0.527399</v>
      </c>
      <c r="AW9" t="n">
        <v>0.523631</v>
      </c>
      <c r="AX9" t="n">
        <v>0.5074650000000001</v>
      </c>
      <c r="AY9" t="n">
        <v>0.516477</v>
      </c>
      <c r="AZ9" t="n">
        <v>0.523783</v>
      </c>
      <c r="BA9" t="n">
        <v>0.518429</v>
      </c>
      <c r="BB9" t="n">
        <v>0.522019</v>
      </c>
      <c r="BC9" t="n">
        <v>0.516626</v>
      </c>
      <c r="BD9" t="n">
        <v>0.489762</v>
      </c>
      <c r="BE9" t="n">
        <v>0.474323</v>
      </c>
      <c r="BF9" t="n">
        <v>0.455365</v>
      </c>
      <c r="BG9" t="n">
        <v>0.43629</v>
      </c>
      <c r="BH9" t="n">
        <v>0.423051</v>
      </c>
      <c r="BI9" t="n">
        <v>0.410832</v>
      </c>
      <c r="BJ9" t="n">
        <v>0.416096</v>
      </c>
      <c r="BK9" t="n">
        <v>0.429063</v>
      </c>
      <c r="BL9" t="n">
        <v>0.447041</v>
      </c>
      <c r="BM9" t="n">
        <v>0.47106</v>
      </c>
    </row>
    <row r="10">
      <c r="A10" t="inlineStr">
        <is>
          <t>G19</t>
        </is>
      </c>
      <c r="B10" t="inlineStr">
        <is>
          <t>comp_b</t>
        </is>
      </c>
      <c r="C10" t="inlineStr">
        <is>
          <t>2025-08-19</t>
        </is>
      </c>
      <c r="D10" t="inlineStr">
        <is>
          <t>data</t>
        </is>
      </c>
      <c r="E10" t="n">
        <v>4</v>
      </c>
      <c r="F10" t="n">
        <v>3</v>
      </c>
      <c r="G10" t="n">
        <v>11</v>
      </c>
      <c r="H10" t="n">
        <v>1</v>
      </c>
      <c r="I10" s="2">
        <f>SUMPRODUCT(H10*OFFSET($R10,0,E10,1,F10),OFFSET($AP10,0,E10,1,F10))</f>
        <v/>
      </c>
      <c r="J10" s="2">
        <f>SUMPRODUCT(H10*OFFSET($R10,0,E10,1,F10),OFFSET($AP10,0,G10,1,F10))</f>
        <v/>
      </c>
      <c r="K10" s="2">
        <f>(J10-I10)/I10*100</f>
        <v/>
      </c>
      <c r="L10" s="2" t="n">
        <v>0.0123064218</v>
      </c>
      <c r="M10" s="2" t="n">
        <v>0.0119658675</v>
      </c>
      <c r="N10" s="2" t="n">
        <v>-2.767289351320614</v>
      </c>
      <c r="O10" s="3">
        <f>ROUND(I10-L10,2)</f>
        <v/>
      </c>
      <c r="P10" s="3">
        <f>ROUND(J10-M10,2)</f>
        <v/>
      </c>
      <c r="Q10" s="3">
        <f>ROUND(K10-N10,2)</f>
        <v/>
      </c>
      <c r="R10" t="n">
        <v>0.0067</v>
      </c>
      <c r="S10" t="n">
        <v>0.005</v>
      </c>
      <c r="T10" t="n">
        <v>0.0045</v>
      </c>
      <c r="U10" t="n">
        <v>0.0058</v>
      </c>
      <c r="V10" t="n">
        <v>0.0056</v>
      </c>
      <c r="W10" t="n">
        <v>0.008399999999999999</v>
      </c>
      <c r="X10" t="n">
        <v>0.0101</v>
      </c>
      <c r="Y10" t="n">
        <v>0.021</v>
      </c>
      <c r="Z10" t="n">
        <v>0.0226</v>
      </c>
      <c r="AA10" t="n">
        <v>0.0177</v>
      </c>
      <c r="AB10" t="n">
        <v>0.019</v>
      </c>
      <c r="AC10" t="n">
        <v>0.013</v>
      </c>
      <c r="AD10" t="n">
        <v>0.0122</v>
      </c>
      <c r="AE10" t="n">
        <v>0.0108</v>
      </c>
      <c r="AF10" t="n">
        <v>0.0112</v>
      </c>
      <c r="AG10" t="n">
        <v>0.0149</v>
      </c>
      <c r="AH10" t="n">
        <v>0.0162</v>
      </c>
      <c r="AI10" t="n">
        <v>0.0119</v>
      </c>
      <c r="AJ10" t="n">
        <v>0.0145</v>
      </c>
      <c r="AK10" t="n">
        <v>0.0113</v>
      </c>
      <c r="AL10" t="n">
        <v>0.0134</v>
      </c>
      <c r="AM10" t="n">
        <v>0.0108</v>
      </c>
      <c r="AN10" t="n">
        <v>0.0075</v>
      </c>
      <c r="AO10" t="n">
        <v>0.0061</v>
      </c>
      <c r="AP10" t="n">
        <v>0.475471</v>
      </c>
      <c r="AQ10" t="n">
        <v>0.488776</v>
      </c>
      <c r="AR10" t="n">
        <v>0.497969</v>
      </c>
      <c r="AS10" t="n">
        <v>0.505559</v>
      </c>
      <c r="AT10" t="n">
        <v>0.503573</v>
      </c>
      <c r="AU10" t="n">
        <v>0.505821</v>
      </c>
      <c r="AV10" t="n">
        <v>0.518566</v>
      </c>
      <c r="AW10" t="n">
        <v>0.512578</v>
      </c>
      <c r="AX10" t="n">
        <v>0.493623</v>
      </c>
      <c r="AY10" t="n">
        <v>0.493671</v>
      </c>
      <c r="AZ10" t="n">
        <v>0.493735</v>
      </c>
      <c r="BA10" t="n">
        <v>0.495381</v>
      </c>
      <c r="BB10" t="n">
        <v>0.503285</v>
      </c>
      <c r="BC10" t="n">
        <v>0.491499</v>
      </c>
      <c r="BD10" t="n">
        <v>0.465267</v>
      </c>
      <c r="BE10" t="n">
        <v>0.455241</v>
      </c>
      <c r="BF10" t="n">
        <v>0.4432</v>
      </c>
      <c r="BG10" t="n">
        <v>0.426773</v>
      </c>
      <c r="BH10" t="n">
        <v>0.41399</v>
      </c>
      <c r="BI10" t="n">
        <v>0.404634</v>
      </c>
      <c r="BJ10" t="n">
        <v>0.400981</v>
      </c>
      <c r="BK10" t="n">
        <v>0.408059</v>
      </c>
      <c r="BL10" t="n">
        <v>0.417572</v>
      </c>
      <c r="BM10" t="n">
        <v>0.428921</v>
      </c>
    </row>
    <row r="11">
      <c r="A11" t="inlineStr">
        <is>
          <t>G20</t>
        </is>
      </c>
      <c r="B11" t="inlineStr">
        <is>
          <t>u_e</t>
        </is>
      </c>
      <c r="C11" t="inlineStr">
        <is>
          <t>2025-05-30</t>
        </is>
      </c>
      <c r="D11" t="inlineStr">
        <is>
          <t>data</t>
        </is>
      </c>
      <c r="E11" t="n">
        <v>3</v>
      </c>
      <c r="F11" t="n">
        <v>6</v>
      </c>
      <c r="G11" t="n">
        <v>4</v>
      </c>
      <c r="H11" t="n">
        <v>0.75</v>
      </c>
      <c r="I11" s="2">
        <f>SUMPRODUCT(H11*OFFSET($R11,0,E11,1,F11),OFFSET($AP11,0,E11,1,F11))</f>
        <v/>
      </c>
      <c r="J11" s="2">
        <f>SUMPRODUCT(H11*OFFSET($R11,0,E11,1,F11),OFFSET($AP11,0,G11,1,F11))</f>
        <v/>
      </c>
      <c r="K11" s="2">
        <f>(J11-I11)/I11*100</f>
        <v/>
      </c>
      <c r="L11" s="2" t="n">
        <v>14.090691492225</v>
      </c>
      <c r="M11" s="2" t="n">
        <v>13.663260700125</v>
      </c>
      <c r="N11" s="2" t="n">
        <v>-3.033426658555743</v>
      </c>
      <c r="O11" s="3">
        <f>ROUND(I11-L11,2)</f>
        <v/>
      </c>
      <c r="P11" s="3">
        <f>ROUND(J11-M11,2)</f>
        <v/>
      </c>
      <c r="Q11" s="3">
        <f>ROUND(K11-N11,2)</f>
        <v/>
      </c>
      <c r="R11" t="n">
        <v>2.0356</v>
      </c>
      <c r="S11" t="n">
        <v>2.0415</v>
      </c>
      <c r="T11" t="n">
        <v>2.0383</v>
      </c>
      <c r="U11" t="n">
        <v>2.0327</v>
      </c>
      <c r="V11" t="n">
        <v>1.6732</v>
      </c>
      <c r="W11" t="n">
        <v>6.6893</v>
      </c>
      <c r="X11" t="n">
        <v>8.2997</v>
      </c>
      <c r="Y11" t="n">
        <v>8.207599999999999</v>
      </c>
      <c r="Z11" t="n">
        <v>13.1369</v>
      </c>
      <c r="AA11" t="n">
        <v>15.7202</v>
      </c>
      <c r="AB11" t="n">
        <v>13.3626</v>
      </c>
      <c r="AC11" t="n">
        <v>8.9239</v>
      </c>
      <c r="AD11" t="n">
        <v>9.159700000000001</v>
      </c>
      <c r="AE11" t="n">
        <v>5.1158</v>
      </c>
      <c r="AF11" t="n">
        <v>2.906</v>
      </c>
      <c r="AG11" t="n">
        <v>2.1707</v>
      </c>
      <c r="AH11" t="n">
        <v>2.4877</v>
      </c>
      <c r="AI11" t="n">
        <v>1.1948</v>
      </c>
      <c r="AJ11" t="n">
        <v>1.137</v>
      </c>
      <c r="AK11" t="n">
        <v>1.1383</v>
      </c>
      <c r="AL11" t="n">
        <v>1.7166</v>
      </c>
      <c r="AM11" t="n">
        <v>2.0468</v>
      </c>
      <c r="AN11" t="n">
        <v>2.045</v>
      </c>
      <c r="AO11" t="n">
        <v>2.0449</v>
      </c>
      <c r="AP11" t="n">
        <v>0.464792</v>
      </c>
      <c r="AQ11" t="n">
        <v>0.474705</v>
      </c>
      <c r="AR11" t="n">
        <v>0.487679</v>
      </c>
      <c r="AS11" t="n">
        <v>0.496291</v>
      </c>
      <c r="AT11" t="n">
        <v>0.487762</v>
      </c>
      <c r="AU11" t="n">
        <v>0.495023</v>
      </c>
      <c r="AV11" t="n">
        <v>0.489363</v>
      </c>
      <c r="AW11" t="n">
        <v>0.468592</v>
      </c>
      <c r="AX11" t="n">
        <v>0.43722</v>
      </c>
      <c r="AY11" t="n">
        <v>0.429838</v>
      </c>
      <c r="AZ11" t="n">
        <v>0.430488</v>
      </c>
      <c r="BA11" t="n">
        <v>0.419737</v>
      </c>
      <c r="BB11" t="n">
        <v>0.441897</v>
      </c>
      <c r="BC11" t="n">
        <v>0.416717</v>
      </c>
      <c r="BD11" t="n">
        <v>0.401159</v>
      </c>
      <c r="BE11" t="n">
        <v>0.401745</v>
      </c>
      <c r="BF11" t="n">
        <v>0.387444</v>
      </c>
      <c r="BG11" t="n">
        <v>0.377791</v>
      </c>
      <c r="BH11" t="n">
        <v>0.389239</v>
      </c>
      <c r="BI11" t="n">
        <v>0.38761</v>
      </c>
      <c r="BJ11" t="n">
        <v>0.38071</v>
      </c>
      <c r="BK11" t="n">
        <v>0.381776</v>
      </c>
      <c r="BL11" t="n">
        <v>0.390419</v>
      </c>
      <c r="BM11" t="n">
        <v>0.402129</v>
      </c>
    </row>
    <row r="12">
      <c r="A12" t="inlineStr">
        <is>
          <t>G21</t>
        </is>
      </c>
      <c r="B12" t="inlineStr">
        <is>
          <t>mix_c</t>
        </is>
      </c>
      <c r="C12" t="inlineStr">
        <is>
          <t>2025-05-20</t>
        </is>
      </c>
      <c r="D12" t="inlineStr">
        <is>
          <t>data</t>
        </is>
      </c>
      <c r="E12" t="n">
        <v>22</v>
      </c>
      <c r="F12" t="n">
        <v>2</v>
      </c>
      <c r="G12" t="n">
        <v>10</v>
      </c>
      <c r="H12" t="n">
        <v>1</v>
      </c>
      <c r="I12" s="2">
        <f>SUMPRODUCT(H12*OFFSET($R12,0,E12,1,F12),OFFSET($AP12,0,E12,1,F12))</f>
        <v/>
      </c>
      <c r="J12" s="2">
        <f>SUMPRODUCT(H12*OFFSET($R12,0,E12,1,F12),OFFSET($AP12,0,G12,1,F12))</f>
        <v/>
      </c>
      <c r="K12" s="2">
        <f>(J12-I12)/I12*100</f>
        <v/>
      </c>
      <c r="L12" s="2" t="n">
        <v>3.996319723600001</v>
      </c>
      <c r="M12" s="2" t="n">
        <v>4.2226163304</v>
      </c>
      <c r="N12" s="2" t="n">
        <v>5.662625176449724</v>
      </c>
      <c r="O12" s="3">
        <f>ROUND(I12-L12,2)</f>
        <v/>
      </c>
      <c r="P12" s="3">
        <f>ROUND(J12-M12,2)</f>
        <v/>
      </c>
      <c r="Q12" s="3">
        <f>ROUND(K12-N12,2)</f>
        <v/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12.3208</v>
      </c>
      <c r="AH12" t="n">
        <v>5.3544</v>
      </c>
      <c r="AI12" t="n">
        <v>10.563</v>
      </c>
      <c r="AJ12" t="n">
        <v>17.0021</v>
      </c>
      <c r="AK12" t="n">
        <v>11.4753</v>
      </c>
      <c r="AL12" t="n">
        <v>5.2893</v>
      </c>
      <c r="AM12" t="n">
        <v>15.0516</v>
      </c>
      <c r="AN12" t="n">
        <v>10.6066</v>
      </c>
      <c r="AO12" t="n">
        <v>0.016</v>
      </c>
      <c r="AP12" t="n">
        <v>0.404561</v>
      </c>
      <c r="AQ12" t="n">
        <v>0.416423</v>
      </c>
      <c r="AR12" t="n">
        <v>0.431606</v>
      </c>
      <c r="AS12" t="n">
        <v>0.438148</v>
      </c>
      <c r="AT12" t="n">
        <v>0.432455</v>
      </c>
      <c r="AU12" t="n">
        <v>0.442032</v>
      </c>
      <c r="AV12" t="n">
        <v>0.447279</v>
      </c>
      <c r="AW12" t="n">
        <v>0.432717</v>
      </c>
      <c r="AX12" t="n">
        <v>0.410864</v>
      </c>
      <c r="AY12" t="n">
        <v>0.405468</v>
      </c>
      <c r="AZ12" t="n">
        <v>0.397524</v>
      </c>
      <c r="BA12" t="n">
        <v>0.389892</v>
      </c>
      <c r="BB12" t="n">
        <v>0.414746</v>
      </c>
      <c r="BC12" t="n">
        <v>0.411598</v>
      </c>
      <c r="BD12" t="n">
        <v>0.412737</v>
      </c>
      <c r="BE12" t="n">
        <v>0.406488</v>
      </c>
      <c r="BF12" t="n">
        <v>0.393926</v>
      </c>
      <c r="BG12" t="n">
        <v>0.387428</v>
      </c>
      <c r="BH12" t="n">
        <v>0.384809</v>
      </c>
      <c r="BI12" t="n">
        <v>0.369347</v>
      </c>
      <c r="BJ12" t="n">
        <v>0.355384</v>
      </c>
      <c r="BK12" t="n">
        <v>0.365473</v>
      </c>
      <c r="BL12" t="n">
        <v>0.376186</v>
      </c>
      <c r="BM12" t="n">
        <v>0.391581</v>
      </c>
    </row>
    <row r="13">
      <c r="A13" t="inlineStr">
        <is>
          <t>G22</t>
        </is>
      </c>
      <c r="B13" t="inlineStr">
        <is>
          <t>u_e</t>
        </is>
      </c>
      <c r="C13" t="inlineStr">
        <is>
          <t>2025-08-09</t>
        </is>
      </c>
      <c r="D13" t="inlineStr">
        <is>
          <t>data</t>
        </is>
      </c>
      <c r="E13" t="n">
        <v>2</v>
      </c>
      <c r="F13" t="n">
        <v>1</v>
      </c>
      <c r="G13" t="n">
        <v>20</v>
      </c>
      <c r="H13" t="n">
        <v>0.5</v>
      </c>
      <c r="I13" s="2">
        <f>SUMPRODUCT(H13*OFFSET($R13,0,E13,1,F13),OFFSET($AP13,0,E13,1,F13))</f>
        <v/>
      </c>
      <c r="J13" s="2">
        <f>SUMPRODUCT(H13*OFFSET($R13,0,E13,1,F13),OFFSET($AP13,0,G13,1,F13))</f>
        <v/>
      </c>
      <c r="K13" s="2">
        <f>(J13-I13)/I13*100</f>
        <v/>
      </c>
      <c r="L13" s="2" t="n">
        <v>0.4051520088</v>
      </c>
      <c r="M13" s="2" t="n">
        <v>0.3319651874</v>
      </c>
      <c r="N13" s="2" t="n">
        <v>-18.06404011589836</v>
      </c>
      <c r="O13" s="3">
        <f>ROUND(I13-L13,2)</f>
        <v/>
      </c>
      <c r="P13" s="3">
        <f>ROUND(J13-M13,2)</f>
        <v/>
      </c>
      <c r="Q13" s="3">
        <f>ROUND(K13-N13,2)</f>
        <v/>
      </c>
      <c r="R13" t="n">
        <v>1.8241</v>
      </c>
      <c r="S13" t="n">
        <v>1.8154</v>
      </c>
      <c r="T13" t="n">
        <v>1.8172</v>
      </c>
      <c r="U13" t="n">
        <v>1.8174</v>
      </c>
      <c r="V13" t="n">
        <v>1.8155</v>
      </c>
      <c r="W13" t="n">
        <v>1.5911</v>
      </c>
      <c r="X13" t="n">
        <v>0.952</v>
      </c>
      <c r="Y13" t="n">
        <v>0.9097</v>
      </c>
      <c r="Z13" t="n">
        <v>0.9729</v>
      </c>
      <c r="AA13" t="n">
        <v>0.9716</v>
      </c>
      <c r="AB13" t="n">
        <v>0.9668</v>
      </c>
      <c r="AC13" t="n">
        <v>0.9644</v>
      </c>
      <c r="AD13" t="n">
        <v>0.9667</v>
      </c>
      <c r="AE13" t="n">
        <v>0.9676</v>
      </c>
      <c r="AF13" t="n">
        <v>0.9669</v>
      </c>
      <c r="AG13" t="n">
        <v>0.964</v>
      </c>
      <c r="AH13" t="n">
        <v>0.9599</v>
      </c>
      <c r="AI13" t="n">
        <v>0.9562</v>
      </c>
      <c r="AJ13" t="n">
        <v>0.9592000000000001</v>
      </c>
      <c r="AK13" t="n">
        <v>1.0153</v>
      </c>
      <c r="AL13" t="n">
        <v>1.7968</v>
      </c>
      <c r="AM13" t="n">
        <v>1.8213</v>
      </c>
      <c r="AN13" t="n">
        <v>1.8226</v>
      </c>
      <c r="AO13" t="n">
        <v>1.8247</v>
      </c>
      <c r="AP13" t="n">
        <v>0.413618</v>
      </c>
      <c r="AQ13" t="n">
        <v>0.428227</v>
      </c>
      <c r="AR13" t="n">
        <v>0.445908</v>
      </c>
      <c r="AS13" t="n">
        <v>0.457428</v>
      </c>
      <c r="AT13" t="n">
        <v>0.46277</v>
      </c>
      <c r="AU13" t="n">
        <v>0.464651</v>
      </c>
      <c r="AV13" t="n">
        <v>0.469508</v>
      </c>
      <c r="AW13" t="n">
        <v>0.460106</v>
      </c>
      <c r="AX13" t="n">
        <v>0.447532</v>
      </c>
      <c r="AY13" t="n">
        <v>0.446517</v>
      </c>
      <c r="AZ13" t="n">
        <v>0.444655</v>
      </c>
      <c r="BA13" t="n">
        <v>0.447063</v>
      </c>
      <c r="BB13" t="n">
        <v>0.452302</v>
      </c>
      <c r="BC13" t="n">
        <v>0.446713</v>
      </c>
      <c r="BD13" t="n">
        <v>0.427921</v>
      </c>
      <c r="BE13" t="n">
        <v>0.427142</v>
      </c>
      <c r="BF13" t="n">
        <v>0.411731</v>
      </c>
      <c r="BG13" t="n">
        <v>0.404782</v>
      </c>
      <c r="BH13" t="n">
        <v>0.39018</v>
      </c>
      <c r="BI13" t="n">
        <v>0.376307</v>
      </c>
      <c r="BJ13" t="n">
        <v>0.365359</v>
      </c>
      <c r="BK13" t="n">
        <v>0.370857</v>
      </c>
      <c r="BL13" t="n">
        <v>0.386203</v>
      </c>
      <c r="BM13" t="n">
        <v>0.398859</v>
      </c>
    </row>
    <row r="14">
      <c r="A14" t="inlineStr">
        <is>
          <t>G23</t>
        </is>
      </c>
      <c r="B14" t="inlineStr">
        <is>
          <t>comp_b</t>
        </is>
      </c>
      <c r="C14" t="inlineStr">
        <is>
          <t>2025-10-26</t>
        </is>
      </c>
      <c r="D14" t="inlineStr">
        <is>
          <t>data</t>
        </is>
      </c>
      <c r="E14" t="n">
        <v>20</v>
      </c>
      <c r="F14" t="n">
        <v>2</v>
      </c>
      <c r="G14" t="n">
        <v>8</v>
      </c>
      <c r="H14" t="n">
        <v>1</v>
      </c>
      <c r="I14" s="2">
        <f>SUMPRODUCT(H14*OFFSET($R14,0,E14,1,F14),OFFSET($AP14,0,E14,1,F14))</f>
        <v/>
      </c>
      <c r="J14" s="2">
        <f>SUMPRODUCT(H14*OFFSET($R14,0,E14,1,F14),OFFSET($AP14,0,G14,1,F14))</f>
        <v/>
      </c>
      <c r="K14" s="2">
        <f>(J14-I14)/I14*100</f>
        <v/>
      </c>
      <c r="L14" s="2" t="n">
        <v>0.0029007799</v>
      </c>
      <c r="M14" s="2" t="n">
        <v>0.0033281294</v>
      </c>
      <c r="N14" s="2" t="n">
        <v>14.7322277019363</v>
      </c>
      <c r="O14" s="3">
        <f>ROUND(I14-L14,2)</f>
        <v/>
      </c>
      <c r="P14" s="3">
        <f>ROUND(J14-M14,2)</f>
        <v/>
      </c>
      <c r="Q14" s="3">
        <f>ROUND(K14-N14,2)</f>
        <v/>
      </c>
      <c r="R14" t="n">
        <v>0.0005999999999999999</v>
      </c>
      <c r="S14" t="n">
        <v>0.0005999999999999999</v>
      </c>
      <c r="T14" t="n">
        <v>0.0001</v>
      </c>
      <c r="U14" t="n">
        <v>0.0004</v>
      </c>
      <c r="V14" t="n">
        <v>0.0001</v>
      </c>
      <c r="W14" t="n">
        <v>0.0002</v>
      </c>
      <c r="X14" t="n">
        <v>0.0024</v>
      </c>
      <c r="Y14" t="n">
        <v>0.0043</v>
      </c>
      <c r="Z14" t="n">
        <v>0.0025</v>
      </c>
      <c r="AA14" t="n">
        <v>0.0047</v>
      </c>
      <c r="AB14" t="n">
        <v>0.0065</v>
      </c>
      <c r="AC14" t="n">
        <v>0.0057</v>
      </c>
      <c r="AD14" t="n">
        <v>0.007</v>
      </c>
      <c r="AE14" t="n">
        <v>0.007</v>
      </c>
      <c r="AF14" t="n">
        <v>0.0071</v>
      </c>
      <c r="AG14" t="n">
        <v>0.0043</v>
      </c>
      <c r="AH14" t="n">
        <v>0.0052</v>
      </c>
      <c r="AI14" t="n">
        <v>0.006</v>
      </c>
      <c r="AJ14" t="n">
        <v>0.0033</v>
      </c>
      <c r="AK14" t="n">
        <v>0.003</v>
      </c>
      <c r="AL14" t="n">
        <v>0.0037</v>
      </c>
      <c r="AM14" t="n">
        <v>0.0027</v>
      </c>
      <c r="AN14" t="n">
        <v>0.0023</v>
      </c>
      <c r="AO14" t="n">
        <v>0.0029</v>
      </c>
      <c r="AP14" t="n">
        <v>0.554949</v>
      </c>
      <c r="AQ14" t="n">
        <v>0.570722</v>
      </c>
      <c r="AR14" t="n">
        <v>0.585189</v>
      </c>
      <c r="AS14" t="n">
        <v>0.586357</v>
      </c>
      <c r="AT14" t="n">
        <v>0.579854</v>
      </c>
      <c r="AU14" t="n">
        <v>0.573834</v>
      </c>
      <c r="AV14" t="n">
        <v>0.577021</v>
      </c>
      <c r="AW14" t="n">
        <v>0.581283</v>
      </c>
      <c r="AX14" t="n">
        <v>0.542102</v>
      </c>
      <c r="AY14" t="n">
        <v>0.48976</v>
      </c>
      <c r="AZ14" t="n">
        <v>0.477453</v>
      </c>
      <c r="BA14" t="n">
        <v>0.479636</v>
      </c>
      <c r="BB14" t="n">
        <v>0.482801</v>
      </c>
      <c r="BC14" t="n">
        <v>0.473571</v>
      </c>
      <c r="BD14" t="n">
        <v>0.448075</v>
      </c>
      <c r="BE14" t="n">
        <v>0.43189</v>
      </c>
      <c r="BF14" t="n">
        <v>0.473724</v>
      </c>
      <c r="BG14" t="n">
        <v>0.466907</v>
      </c>
      <c r="BH14" t="n">
        <v>0.439995</v>
      </c>
      <c r="BI14" t="n">
        <v>0.439295</v>
      </c>
      <c r="BJ14" t="n">
        <v>0.449215</v>
      </c>
      <c r="BK14" t="n">
        <v>0.458772</v>
      </c>
      <c r="BL14" t="n">
        <v>0.453908</v>
      </c>
      <c r="BM14" t="n">
        <v>0.454708</v>
      </c>
    </row>
    <row r="15">
      <c r="A15" t="inlineStr">
        <is>
          <t>G24</t>
        </is>
      </c>
      <c r="B15" t="inlineStr">
        <is>
          <t>p_i</t>
        </is>
      </c>
      <c r="C15" t="inlineStr">
        <is>
          <t>2025-11-01</t>
        </is>
      </c>
      <c r="D15" t="inlineStr">
        <is>
          <t>data</t>
        </is>
      </c>
      <c r="E15" t="n">
        <v>2</v>
      </c>
      <c r="F15" t="n">
        <v>1</v>
      </c>
      <c r="G15" t="n">
        <v>22</v>
      </c>
      <c r="H15" t="n">
        <v>1</v>
      </c>
      <c r="I15" s="2">
        <f>SUMPRODUCT(H15*OFFSET($R15,0,E15,1,F15),OFFSET($AP15,0,E15,1,F15))</f>
        <v/>
      </c>
      <c r="J15" s="2">
        <f>SUMPRODUCT(H15*OFFSET($R15,0,E15,1,F15),OFFSET($AP15,0,G15,1,F15))</f>
        <v/>
      </c>
      <c r="K15" s="2">
        <f>(J15-I15)/I15*100</f>
        <v/>
      </c>
      <c r="L15" s="2" t="n">
        <v>2.2867029936</v>
      </c>
      <c r="M15" s="2" t="n">
        <v>1.9657140336</v>
      </c>
      <c r="N15" s="2" t="n">
        <v>-14.03719507510947</v>
      </c>
      <c r="O15" s="3">
        <f>ROUND(I15-L15,2)</f>
        <v/>
      </c>
      <c r="P15" s="3">
        <f>ROUND(J15-M15,2)</f>
        <v/>
      </c>
      <c r="Q15" s="3">
        <f>ROUND(K15-N15,2)</f>
        <v/>
      </c>
      <c r="R15" t="n">
        <v>3.8534</v>
      </c>
      <c r="S15" t="n">
        <v>3.3743</v>
      </c>
      <c r="T15" t="n">
        <v>3.9924</v>
      </c>
      <c r="U15" t="n">
        <v>4.1435</v>
      </c>
      <c r="V15" t="n">
        <v>4.0473</v>
      </c>
      <c r="W15" t="n">
        <v>3.7575</v>
      </c>
      <c r="X15" t="n">
        <v>4.0578</v>
      </c>
      <c r="Y15" t="n">
        <v>4.4654</v>
      </c>
      <c r="Z15" t="n">
        <v>5.1661</v>
      </c>
      <c r="AA15" t="n">
        <v>5.0061</v>
      </c>
      <c r="AB15" t="n">
        <v>4.5895</v>
      </c>
      <c r="AC15" t="n">
        <v>4.1324</v>
      </c>
      <c r="AD15" t="n">
        <v>4.1604</v>
      </c>
      <c r="AE15" t="n">
        <v>4.4662</v>
      </c>
      <c r="AF15" t="n">
        <v>4.0075</v>
      </c>
      <c r="AG15" t="n">
        <v>3.4829</v>
      </c>
      <c r="AH15" t="n">
        <v>3.5717</v>
      </c>
      <c r="AI15" t="n">
        <v>4.1499</v>
      </c>
      <c r="AJ15" t="n">
        <v>4.7362</v>
      </c>
      <c r="AK15" t="n">
        <v>4.8494</v>
      </c>
      <c r="AL15" t="n">
        <v>4.4939</v>
      </c>
      <c r="AM15" t="n">
        <v>4.5143</v>
      </c>
      <c r="AN15" t="n">
        <v>4.6069</v>
      </c>
      <c r="AO15" t="n">
        <v>4.8697</v>
      </c>
      <c r="AP15" t="n">
        <v>0.53972</v>
      </c>
      <c r="AQ15" t="n">
        <v>0.5587839999999999</v>
      </c>
      <c r="AR15" t="n">
        <v>0.5727640000000001</v>
      </c>
      <c r="AS15" t="n">
        <v>0.582193</v>
      </c>
      <c r="AT15" t="n">
        <v>0.582759</v>
      </c>
      <c r="AU15" t="n">
        <v>0.5764860000000001</v>
      </c>
      <c r="AV15" t="n">
        <v>0.567927</v>
      </c>
      <c r="AW15" t="n">
        <v>0.568045</v>
      </c>
      <c r="AX15" t="n">
        <v>0.5620889999999999</v>
      </c>
      <c r="AY15" t="n">
        <v>0.565837</v>
      </c>
      <c r="AZ15" t="n">
        <v>0.575372</v>
      </c>
      <c r="BA15" t="n">
        <v>0.5792389999999999</v>
      </c>
      <c r="BB15" t="n">
        <v>0.571753</v>
      </c>
      <c r="BC15" t="n">
        <v>0.572203</v>
      </c>
      <c r="BD15" t="n">
        <v>0.562084</v>
      </c>
      <c r="BE15" t="n">
        <v>0.5457920000000001</v>
      </c>
      <c r="BF15" t="n">
        <v>0.513614</v>
      </c>
      <c r="BG15" t="n">
        <v>0.46733</v>
      </c>
      <c r="BH15" t="n">
        <v>0.439611</v>
      </c>
      <c r="BI15" t="n">
        <v>0.447874</v>
      </c>
      <c r="BJ15" t="n">
        <v>0.462287</v>
      </c>
      <c r="BK15" t="n">
        <v>0.477546</v>
      </c>
      <c r="BL15" t="n">
        <v>0.492364</v>
      </c>
      <c r="BM15" t="n">
        <v>0.508966</v>
      </c>
    </row>
    <row r="16">
      <c r="A16" t="inlineStr">
        <is>
          <t>G25</t>
        </is>
      </c>
      <c r="B16" t="inlineStr">
        <is>
          <t>u_e</t>
        </is>
      </c>
      <c r="C16" t="inlineStr">
        <is>
          <t>2025-09-05</t>
        </is>
      </c>
      <c r="D16" t="inlineStr">
        <is>
          <t>data</t>
        </is>
      </c>
      <c r="E16" t="n">
        <v>4</v>
      </c>
      <c r="F16" t="n">
        <v>4</v>
      </c>
      <c r="G16" t="n">
        <v>1</v>
      </c>
      <c r="H16" t="n">
        <v>0.75</v>
      </c>
      <c r="I16" s="2">
        <f>SUMPRODUCT(H16*OFFSET($R16,0,E16,1,F16),OFFSET($AP16,0,E16,1,F16))</f>
        <v/>
      </c>
      <c r="J16" s="2">
        <f>SUMPRODUCT(H16*OFFSET($R16,0,E16,1,F16),OFFSET($AP16,0,G16,1,F16))</f>
        <v/>
      </c>
      <c r="K16" s="2">
        <f>(J16-I16)/I16*100</f>
        <v/>
      </c>
      <c r="L16" s="2" t="n">
        <v>11.385482917875</v>
      </c>
      <c r="M16" s="2" t="n">
        <v>11.059350074475</v>
      </c>
      <c r="N16" s="2" t="n">
        <v>-2.864462102771026</v>
      </c>
      <c r="O16" s="3">
        <f>ROUND(I16-L16,2)</f>
        <v/>
      </c>
      <c r="P16" s="3">
        <f>ROUND(J16-M16,2)</f>
        <v/>
      </c>
      <c r="Q16" s="3">
        <f>ROUND(K16-N16,2)</f>
        <v/>
      </c>
      <c r="R16" t="n">
        <v>2.1168</v>
      </c>
      <c r="S16" t="n">
        <v>2.1226</v>
      </c>
      <c r="T16" t="n">
        <v>2.1271</v>
      </c>
      <c r="U16" t="n">
        <v>2.1281</v>
      </c>
      <c r="V16" t="n">
        <v>2.2919</v>
      </c>
      <c r="W16" t="n">
        <v>10.7356</v>
      </c>
      <c r="X16" t="n">
        <v>8.8355</v>
      </c>
      <c r="Y16" t="n">
        <v>8.774699999999999</v>
      </c>
      <c r="Z16" t="n">
        <v>12.7955</v>
      </c>
      <c r="AA16" t="n">
        <v>12.4998</v>
      </c>
      <c r="AB16" t="n">
        <v>12.3958</v>
      </c>
      <c r="AC16" t="n">
        <v>12.8336</v>
      </c>
      <c r="AD16" t="n">
        <v>9.243600000000001</v>
      </c>
      <c r="AE16" t="n">
        <v>6.8705</v>
      </c>
      <c r="AF16" t="n">
        <v>6.1927</v>
      </c>
      <c r="AG16" t="n">
        <v>4.5459</v>
      </c>
      <c r="AH16" t="n">
        <v>1.1809</v>
      </c>
      <c r="AI16" t="n">
        <v>1.1784</v>
      </c>
      <c r="AJ16" t="n">
        <v>1.1169</v>
      </c>
      <c r="AK16" t="n">
        <v>2.0155</v>
      </c>
      <c r="AL16" t="n">
        <v>1.9762</v>
      </c>
      <c r="AM16" t="n">
        <v>2.0502</v>
      </c>
      <c r="AN16" t="n">
        <v>2.0451</v>
      </c>
      <c r="AO16" t="n">
        <v>1.9851</v>
      </c>
      <c r="AP16" t="n">
        <v>0.455732</v>
      </c>
      <c r="AQ16" t="n">
        <v>0.467192</v>
      </c>
      <c r="AR16" t="n">
        <v>0.474007</v>
      </c>
      <c r="AS16" t="n">
        <v>0.483966</v>
      </c>
      <c r="AT16" t="n">
        <v>0.491209</v>
      </c>
      <c r="AU16" t="n">
        <v>0.49249</v>
      </c>
      <c r="AV16" t="n">
        <v>0.499987</v>
      </c>
      <c r="AW16" t="n">
        <v>0.495747</v>
      </c>
      <c r="AX16" t="n">
        <v>0.478723</v>
      </c>
      <c r="AY16" t="n">
        <v>0.476932</v>
      </c>
      <c r="AZ16" t="n">
        <v>0.487491</v>
      </c>
      <c r="BA16" t="n">
        <v>0.480084</v>
      </c>
      <c r="BB16" t="n">
        <v>0.486216</v>
      </c>
      <c r="BC16" t="n">
        <v>0.480892</v>
      </c>
      <c r="BD16" t="n">
        <v>0.452637</v>
      </c>
      <c r="BE16" t="n">
        <v>0.442339</v>
      </c>
      <c r="BF16" t="n">
        <v>0.429487</v>
      </c>
      <c r="BG16" t="n">
        <v>0.410625</v>
      </c>
      <c r="BH16" t="n">
        <v>0.403607</v>
      </c>
      <c r="BI16" t="n">
        <v>0.398383</v>
      </c>
      <c r="BJ16" t="n">
        <v>0.397372</v>
      </c>
      <c r="BK16" t="n">
        <v>0.405134</v>
      </c>
      <c r="BL16" t="n">
        <v>0.417274</v>
      </c>
      <c r="BM16" t="n">
        <v>0.43683</v>
      </c>
    </row>
    <row r="17">
      <c r="A17" t="inlineStr">
        <is>
          <t>G26</t>
        </is>
      </c>
      <c r="B17" t="inlineStr">
        <is>
          <t>mh_a</t>
        </is>
      </c>
      <c r="C17" t="inlineStr">
        <is>
          <t>2025-11-04</t>
        </is>
      </c>
      <c r="D17" t="inlineStr">
        <is>
          <t>data</t>
        </is>
      </c>
      <c r="E17" t="n">
        <v>17</v>
      </c>
      <c r="F17" t="n">
        <v>3</v>
      </c>
      <c r="G17" t="n">
        <v>13</v>
      </c>
      <c r="H17" t="n">
        <v>0.25</v>
      </c>
      <c r="I17" s="2">
        <f>SUMPRODUCT(H17*OFFSET($R17,0,E17,1,F17),OFFSET($AP17,0,E17,1,F17))</f>
        <v/>
      </c>
      <c r="J17" s="2">
        <f>SUMPRODUCT(H17*OFFSET($R17,0,E17,1,F17),OFFSET($AP17,0,G17,1,F17))</f>
        <v/>
      </c>
      <c r="K17" s="2">
        <f>(J17-I17)/I17*100</f>
        <v/>
      </c>
      <c r="L17" s="2" t="n">
        <v>0.126835232275</v>
      </c>
      <c r="M17" s="2" t="n">
        <v>0.156618436275</v>
      </c>
      <c r="N17" s="2" t="n">
        <v>23.48180664456467</v>
      </c>
      <c r="O17" s="3">
        <f>ROUND(I17-L17,2)</f>
        <v/>
      </c>
      <c r="P17" s="3">
        <f>ROUND(J17-M17,2)</f>
        <v/>
      </c>
      <c r="Q17" s="3">
        <f>ROUND(K17-N17,2)</f>
        <v/>
      </c>
      <c r="R17" t="n">
        <v>0.9545</v>
      </c>
      <c r="S17" t="n">
        <v>0.9554</v>
      </c>
      <c r="T17" t="n">
        <v>0.9543</v>
      </c>
      <c r="U17" t="n">
        <v>0.9566</v>
      </c>
      <c r="V17" t="n">
        <v>0.9569</v>
      </c>
      <c r="W17" t="n">
        <v>0.9552</v>
      </c>
      <c r="X17" t="n">
        <v>0.9487</v>
      </c>
      <c r="Y17" t="n">
        <v>1.8034</v>
      </c>
      <c r="Z17" t="n">
        <v>7.2195</v>
      </c>
      <c r="AA17" t="n">
        <v>8.7385</v>
      </c>
      <c r="AB17" t="n">
        <v>8.6431</v>
      </c>
      <c r="AC17" t="n">
        <v>8.337400000000001</v>
      </c>
      <c r="AD17" t="n">
        <v>8.7484</v>
      </c>
      <c r="AE17" t="n">
        <v>7.893</v>
      </c>
      <c r="AF17" t="n">
        <v>4.4372</v>
      </c>
      <c r="AG17" t="n">
        <v>0.3879</v>
      </c>
      <c r="AH17" t="n">
        <v>0.3843</v>
      </c>
      <c r="AI17" t="n">
        <v>0.3818</v>
      </c>
      <c r="AJ17" t="n">
        <v>0.3822</v>
      </c>
      <c r="AK17" t="n">
        <v>0.3795</v>
      </c>
      <c r="AL17" t="n">
        <v>0.38</v>
      </c>
      <c r="AM17" t="n">
        <v>0.3804</v>
      </c>
      <c r="AN17" t="n">
        <v>0.3805</v>
      </c>
      <c r="AO17" t="n">
        <v>0.3802</v>
      </c>
      <c r="AP17" t="n">
        <v>0.533563</v>
      </c>
      <c r="AQ17" t="n">
        <v>0.555504</v>
      </c>
      <c r="AR17" t="n">
        <v>0.571652</v>
      </c>
      <c r="AS17" t="n">
        <v>0.579361</v>
      </c>
      <c r="AT17" t="n">
        <v>0.587811</v>
      </c>
      <c r="AU17" t="n">
        <v>0.586437</v>
      </c>
      <c r="AV17" t="n">
        <v>0.5674630000000001</v>
      </c>
      <c r="AW17" t="n">
        <v>0.539741</v>
      </c>
      <c r="AX17" t="n">
        <v>0.49401</v>
      </c>
      <c r="AY17" t="n">
        <v>0.502824</v>
      </c>
      <c r="AZ17" t="n">
        <v>0.543848</v>
      </c>
      <c r="BA17" t="n">
        <v>0.559221</v>
      </c>
      <c r="BB17" t="n">
        <v>0.577696</v>
      </c>
      <c r="BC17" t="n">
        <v>0.5701889999999999</v>
      </c>
      <c r="BD17" t="n">
        <v>0.546412</v>
      </c>
      <c r="BE17" t="n">
        <v>0.526843</v>
      </c>
      <c r="BF17" t="n">
        <v>0.479851</v>
      </c>
      <c r="BG17" t="n">
        <v>0.443675</v>
      </c>
      <c r="BH17" t="n">
        <v>0.436538</v>
      </c>
      <c r="BI17" t="n">
        <v>0.450859</v>
      </c>
      <c r="BJ17" t="n">
        <v>0.465092</v>
      </c>
      <c r="BK17" t="n">
        <v>0.472371</v>
      </c>
      <c r="BL17" t="n">
        <v>0.4722</v>
      </c>
      <c r="BM17" t="n">
        <v>0.487324</v>
      </c>
    </row>
    <row r="18">
      <c r="A18" t="inlineStr">
        <is>
          <t>G27</t>
        </is>
      </c>
      <c r="B18" t="inlineStr">
        <is>
          <t>mh_a</t>
        </is>
      </c>
      <c r="C18" t="inlineStr">
        <is>
          <t>2025-05-06</t>
        </is>
      </c>
      <c r="D18" t="inlineStr">
        <is>
          <t>data</t>
        </is>
      </c>
      <c r="E18" t="n">
        <v>3</v>
      </c>
      <c r="F18" t="n">
        <v>6</v>
      </c>
      <c r="G18" t="n">
        <v>12</v>
      </c>
      <c r="H18" t="n">
        <v>1</v>
      </c>
      <c r="I18" s="2">
        <f>SUMPRODUCT(H18*OFFSET($R18,0,E18,1,F18),OFFSET($AP18,0,E18,1,F18))</f>
        <v/>
      </c>
      <c r="J18" s="2">
        <f>SUMPRODUCT(H18*OFFSET($R18,0,E18,1,F18),OFFSET($AP18,0,G18,1,F18))</f>
        <v/>
      </c>
      <c r="K18" s="2">
        <f>(J18-I18)/I18*100</f>
        <v/>
      </c>
      <c r="L18" s="2" t="n">
        <v>6.452060300799999</v>
      </c>
      <c r="M18" s="2" t="n">
        <v>5.9386680018</v>
      </c>
      <c r="N18" s="2" t="n">
        <v>-7.957028841412771</v>
      </c>
      <c r="O18" s="3">
        <f>ROUND(I18-L18,2)</f>
        <v/>
      </c>
      <c r="P18" s="3">
        <f>ROUND(J18-M18,2)</f>
        <v/>
      </c>
      <c r="Q18" s="3">
        <f>ROUND(K18-N18,2)</f>
        <v/>
      </c>
      <c r="R18" t="n">
        <v>0.3846</v>
      </c>
      <c r="S18" t="n">
        <v>0.3832</v>
      </c>
      <c r="T18" t="n">
        <v>0.3836</v>
      </c>
      <c r="U18" t="n">
        <v>0.3837</v>
      </c>
      <c r="V18" t="n">
        <v>0.3842</v>
      </c>
      <c r="W18" t="n">
        <v>0.3827</v>
      </c>
      <c r="X18" t="n">
        <v>1.9546</v>
      </c>
      <c r="Y18" t="n">
        <v>5.5565</v>
      </c>
      <c r="Z18" t="n">
        <v>8.5892</v>
      </c>
      <c r="AA18" t="n">
        <v>8.4344</v>
      </c>
      <c r="AB18" t="n">
        <v>8.161799999999999</v>
      </c>
      <c r="AC18" t="n">
        <v>8.0594</v>
      </c>
      <c r="AD18" t="n">
        <v>8.207000000000001</v>
      </c>
      <c r="AE18" t="n">
        <v>6.5617</v>
      </c>
      <c r="AF18" t="n">
        <v>1.8176</v>
      </c>
      <c r="AG18" t="n">
        <v>0.5896</v>
      </c>
      <c r="AH18" t="n">
        <v>0.5345</v>
      </c>
      <c r="AI18" t="n">
        <v>0.5349</v>
      </c>
      <c r="AJ18" t="n">
        <v>0.5346</v>
      </c>
      <c r="AK18" t="n">
        <v>0.5343</v>
      </c>
      <c r="AL18" t="n">
        <v>0.5332</v>
      </c>
      <c r="AM18" t="n">
        <v>0.5324</v>
      </c>
      <c r="AN18" t="n">
        <v>0.5296999999999999</v>
      </c>
      <c r="AO18" t="n">
        <v>0.5304</v>
      </c>
      <c r="AP18" t="n">
        <v>0.36663</v>
      </c>
      <c r="AQ18" t="n">
        <v>0.376617</v>
      </c>
      <c r="AR18" t="n">
        <v>0.377238</v>
      </c>
      <c r="AS18" t="n">
        <v>0.373824</v>
      </c>
      <c r="AT18" t="n">
        <v>0.376634</v>
      </c>
      <c r="AU18" t="n">
        <v>0.384855</v>
      </c>
      <c r="AV18" t="n">
        <v>0.394891</v>
      </c>
      <c r="AW18" t="n">
        <v>0.385053</v>
      </c>
      <c r="AX18" t="n">
        <v>0.361528</v>
      </c>
      <c r="AY18" t="n">
        <v>0.368695</v>
      </c>
      <c r="AZ18" t="n">
        <v>0.346196</v>
      </c>
      <c r="BA18" t="n">
        <v>0.339354</v>
      </c>
      <c r="BB18" t="n">
        <v>0.338007</v>
      </c>
      <c r="BC18" t="n">
        <v>0.336061</v>
      </c>
      <c r="BD18" t="n">
        <v>0.332276</v>
      </c>
      <c r="BE18" t="n">
        <v>0.341947</v>
      </c>
      <c r="BF18" t="n">
        <v>0.348515</v>
      </c>
      <c r="BG18" t="n">
        <v>0.343199</v>
      </c>
      <c r="BH18" t="n">
        <v>0.337906</v>
      </c>
      <c r="BI18" t="n">
        <v>0.316574</v>
      </c>
      <c r="BJ18" t="n">
        <v>0.312679</v>
      </c>
      <c r="BK18" t="n">
        <v>0.318037</v>
      </c>
      <c r="BL18" t="n">
        <v>0.327504</v>
      </c>
      <c r="BM18" t="n">
        <v>0.333835</v>
      </c>
    </row>
    <row r="19">
      <c r="A19" t="inlineStr">
        <is>
          <t>G28</t>
        </is>
      </c>
      <c r="B19" t="inlineStr">
        <is>
          <t>u_e</t>
        </is>
      </c>
      <c r="C19" t="inlineStr">
        <is>
          <t>2025-06-01</t>
        </is>
      </c>
      <c r="D19" t="inlineStr">
        <is>
          <t>data</t>
        </is>
      </c>
      <c r="E19" t="n">
        <v>8</v>
      </c>
      <c r="F19" t="n">
        <v>1</v>
      </c>
      <c r="G19" t="n">
        <v>5</v>
      </c>
      <c r="H19" t="n">
        <v>0.25</v>
      </c>
      <c r="I19" s="2">
        <f>SUMPRODUCT(H19*OFFSET($R19,0,E19,1,F19),OFFSET($AP19,0,E19,1,F19))</f>
        <v/>
      </c>
      <c r="J19" s="2">
        <f>SUMPRODUCT(H19*OFFSET($R19,0,E19,1,F19),OFFSET($AP19,0,G19,1,F19))</f>
        <v/>
      </c>
      <c r="K19" s="2">
        <f>(J19-I19)/I19*100</f>
        <v/>
      </c>
      <c r="L19" s="2" t="n">
        <v>0.1125763295</v>
      </c>
      <c r="M19" s="2" t="n">
        <v>0.12713251125</v>
      </c>
      <c r="N19" s="2" t="n">
        <v>12.93005538078057</v>
      </c>
      <c r="O19" s="3">
        <f>ROUND(I19-L19,2)</f>
        <v/>
      </c>
      <c r="P19" s="3">
        <f>ROUND(J19-M19,2)</f>
        <v/>
      </c>
      <c r="Q19" s="3">
        <f>ROUND(K19-N19,2)</f>
        <v/>
      </c>
      <c r="R19" t="n">
        <v>2.047</v>
      </c>
      <c r="S19" t="n">
        <v>2.0503</v>
      </c>
      <c r="T19" t="n">
        <v>2.0526</v>
      </c>
      <c r="U19" t="n">
        <v>2.0565</v>
      </c>
      <c r="V19" t="n">
        <v>1.8014</v>
      </c>
      <c r="W19" t="n">
        <v>1.1388</v>
      </c>
      <c r="X19" t="n">
        <v>1.1366</v>
      </c>
      <c r="Y19" t="n">
        <v>1.1336</v>
      </c>
      <c r="Z19" t="n">
        <v>1.1315</v>
      </c>
      <c r="AA19" t="n">
        <v>1.1341</v>
      </c>
      <c r="AB19" t="n">
        <v>1.1349</v>
      </c>
      <c r="AC19" t="n">
        <v>1.1377</v>
      </c>
      <c r="AD19" t="n">
        <v>1.1402</v>
      </c>
      <c r="AE19" t="n">
        <v>1.1398</v>
      </c>
      <c r="AF19" t="n">
        <v>1.1402</v>
      </c>
      <c r="AG19" t="n">
        <v>1.1339</v>
      </c>
      <c r="AH19" t="n">
        <v>1.1323</v>
      </c>
      <c r="AI19" t="n">
        <v>1.131</v>
      </c>
      <c r="AJ19" t="n">
        <v>1.1313</v>
      </c>
      <c r="AK19" t="n">
        <v>1.1339</v>
      </c>
      <c r="AL19" t="n">
        <v>1.4099</v>
      </c>
      <c r="AM19" t="n">
        <v>2.0458</v>
      </c>
      <c r="AN19" t="n">
        <v>2.0509</v>
      </c>
      <c r="AO19" t="n">
        <v>2.0529</v>
      </c>
      <c r="AP19" t="n">
        <v>0.420277</v>
      </c>
      <c r="AQ19" t="n">
        <v>0.437434</v>
      </c>
      <c r="AR19" t="n">
        <v>0.439478</v>
      </c>
      <c r="AS19" t="n">
        <v>0.427328</v>
      </c>
      <c r="AT19" t="n">
        <v>0.437964</v>
      </c>
      <c r="AU19" t="n">
        <v>0.44943</v>
      </c>
      <c r="AV19" t="n">
        <v>0.412547</v>
      </c>
      <c r="AW19" t="n">
        <v>0.384764</v>
      </c>
      <c r="AX19" t="n">
        <v>0.397972</v>
      </c>
      <c r="AY19" t="n">
        <v>0.411484</v>
      </c>
      <c r="AZ19" t="n">
        <v>0.412847</v>
      </c>
      <c r="BA19" t="n">
        <v>0.40821</v>
      </c>
      <c r="BB19" t="n">
        <v>0.406812</v>
      </c>
      <c r="BC19" t="n">
        <v>0.391274</v>
      </c>
      <c r="BD19" t="n">
        <v>0.376903</v>
      </c>
      <c r="BE19" t="n">
        <v>0.366367</v>
      </c>
      <c r="BF19" t="n">
        <v>0.34629</v>
      </c>
      <c r="BG19" t="n">
        <v>0.360597</v>
      </c>
      <c r="BH19" t="n">
        <v>0.387755</v>
      </c>
      <c r="BI19" t="n">
        <v>0.383913</v>
      </c>
      <c r="BJ19" t="n">
        <v>0.375702</v>
      </c>
      <c r="BK19" t="n">
        <v>0.38008</v>
      </c>
      <c r="BL19" t="n">
        <v>0.399375</v>
      </c>
      <c r="BM19" t="n">
        <v>0.419505</v>
      </c>
    </row>
    <row r="20">
      <c r="A20" t="inlineStr">
        <is>
          <t>G29</t>
        </is>
      </c>
      <c r="B20" t="inlineStr">
        <is>
          <t>comp_b</t>
        </is>
      </c>
      <c r="C20" t="inlineStr">
        <is>
          <t>2025-06-20</t>
        </is>
      </c>
      <c r="D20" t="inlineStr">
        <is>
          <t>data</t>
        </is>
      </c>
      <c r="E20" t="n">
        <v>11</v>
      </c>
      <c r="F20" t="n">
        <v>4</v>
      </c>
      <c r="G20" t="n">
        <v>10</v>
      </c>
      <c r="H20" t="n">
        <v>0.5</v>
      </c>
      <c r="I20" s="2">
        <f>SUMPRODUCT(H20*OFFSET($R20,0,E20,1,F20),OFFSET($AP20,0,E20,1,F20))</f>
        <v/>
      </c>
      <c r="J20" s="2">
        <f>SUMPRODUCT(H20*OFFSET($R20,0,E20,1,F20),OFFSET($AP20,0,G20,1,F20))</f>
        <v/>
      </c>
      <c r="K20" s="2">
        <f>(J20-I20)/I20*100</f>
        <v/>
      </c>
      <c r="L20" s="2" t="n">
        <v>0.009533719599999999</v>
      </c>
      <c r="M20" s="2" t="n">
        <v>0.009650603149999999</v>
      </c>
      <c r="N20" s="2" t="n">
        <v>1.226001549279888</v>
      </c>
      <c r="O20" s="3">
        <f>ROUND(I20-L20,2)</f>
        <v/>
      </c>
      <c r="P20" s="3">
        <f>ROUND(J20-M20,2)</f>
        <v/>
      </c>
      <c r="Q20" s="3">
        <f>ROUND(K20-N20,2)</f>
        <v/>
      </c>
      <c r="R20" t="n">
        <v>0.0037</v>
      </c>
      <c r="S20" t="n">
        <v>0.0043</v>
      </c>
      <c r="T20" t="n">
        <v>0.0033</v>
      </c>
      <c r="U20" t="n">
        <v>0.0032</v>
      </c>
      <c r="V20" t="n">
        <v>0.0024</v>
      </c>
      <c r="W20" t="n">
        <v>0.0094</v>
      </c>
      <c r="X20" t="n">
        <v>0.0137</v>
      </c>
      <c r="Y20" t="n">
        <v>0.0116</v>
      </c>
      <c r="Z20" t="n">
        <v>0.0124</v>
      </c>
      <c r="AA20" t="n">
        <v>0.012</v>
      </c>
      <c r="AB20" t="n">
        <v>0.0065</v>
      </c>
      <c r="AC20" t="n">
        <v>0.01</v>
      </c>
      <c r="AD20" t="n">
        <v>0.0135</v>
      </c>
      <c r="AE20" t="n">
        <v>0.0113</v>
      </c>
      <c r="AF20" t="n">
        <v>0.0053</v>
      </c>
      <c r="AG20" t="n">
        <v>0.002</v>
      </c>
      <c r="AH20" t="n">
        <v>0.0033</v>
      </c>
      <c r="AI20" t="n">
        <v>0.0038</v>
      </c>
      <c r="AJ20" t="n">
        <v>0.004</v>
      </c>
      <c r="AK20" t="n">
        <v>0.0023</v>
      </c>
      <c r="AL20" t="n">
        <v>0.003</v>
      </c>
      <c r="AM20" t="n">
        <v>0.0019</v>
      </c>
      <c r="AN20" t="n">
        <v>0.0019</v>
      </c>
      <c r="AO20" t="n">
        <v>0.0016</v>
      </c>
      <c r="AP20" t="n">
        <v>0.462152</v>
      </c>
      <c r="AQ20" t="n">
        <v>0.481438</v>
      </c>
      <c r="AR20" t="n">
        <v>0.499195</v>
      </c>
      <c r="AS20" t="n">
        <v>0.515363</v>
      </c>
      <c r="AT20" t="n">
        <v>0.525645</v>
      </c>
      <c r="AU20" t="n">
        <v>0.529698</v>
      </c>
      <c r="AV20" t="n">
        <v>0.530502</v>
      </c>
      <c r="AW20" t="n">
        <v>0.519076</v>
      </c>
      <c r="AX20" t="n">
        <v>0.492467</v>
      </c>
      <c r="AY20" t="n">
        <v>0.490352</v>
      </c>
      <c r="AZ20" t="n">
        <v>0.487492</v>
      </c>
      <c r="BA20" t="n">
        <v>0.475354</v>
      </c>
      <c r="BB20" t="n">
        <v>0.487452</v>
      </c>
      <c r="BC20" t="n">
        <v>0.471849</v>
      </c>
      <c r="BD20" t="n">
        <v>0.453095</v>
      </c>
      <c r="BE20" t="n">
        <v>0.446292</v>
      </c>
      <c r="BF20" t="n">
        <v>0.433274</v>
      </c>
      <c r="BG20" t="n">
        <v>0.420719</v>
      </c>
      <c r="BH20" t="n">
        <v>0.40869</v>
      </c>
      <c r="BI20" t="n">
        <v>0.395549</v>
      </c>
      <c r="BJ20" t="n">
        <v>0.382636</v>
      </c>
      <c r="BK20" t="n">
        <v>0.380719</v>
      </c>
      <c r="BL20" t="n">
        <v>0.392292</v>
      </c>
      <c r="BM20" t="n">
        <v>0.399956</v>
      </c>
    </row>
    <row r="21">
      <c r="A21" t="inlineStr">
        <is>
          <t>G30</t>
        </is>
      </c>
      <c r="B21" t="inlineStr">
        <is>
          <t>comp_b</t>
        </is>
      </c>
      <c r="C21" t="inlineStr">
        <is>
          <t>2025-11-30</t>
        </is>
      </c>
      <c r="D21" t="inlineStr">
        <is>
          <t>data</t>
        </is>
      </c>
      <c r="E21" t="n">
        <v>6</v>
      </c>
      <c r="F21" t="n">
        <v>5</v>
      </c>
      <c r="G21" t="n">
        <v>8</v>
      </c>
      <c r="H21" t="n">
        <v>1</v>
      </c>
      <c r="I21" s="2">
        <f>SUMPRODUCT(H21*OFFSET($R21,0,E21,1,F21),OFFSET($AP21,0,E21,1,F21))</f>
        <v/>
      </c>
      <c r="J21" s="2">
        <f>SUMPRODUCT(H21*OFFSET($R21,0,E21,1,F21),OFFSET($AP21,0,G21,1,F21))</f>
        <v/>
      </c>
      <c r="K21" s="2">
        <f>(J21-I21)/I21*100</f>
        <v/>
      </c>
      <c r="L21" s="2" t="n">
        <v>0.0104049017</v>
      </c>
      <c r="M21" s="2" t="n">
        <v>0.0102723461</v>
      </c>
      <c r="N21" s="2" t="n">
        <v>-1.273972631572296</v>
      </c>
      <c r="O21" s="3">
        <f>ROUND(I21-L21,2)</f>
        <v/>
      </c>
      <c r="P21" s="3">
        <f>ROUND(J21-M21,2)</f>
        <v/>
      </c>
      <c r="Q21" s="3">
        <f>ROUND(K21-N21,2)</f>
        <v/>
      </c>
      <c r="R21" t="n">
        <v>0.0074</v>
      </c>
      <c r="S21" t="n">
        <v>0.003</v>
      </c>
      <c r="T21" t="n">
        <v>0.0029</v>
      </c>
      <c r="U21" t="n">
        <v>0.0014</v>
      </c>
      <c r="V21" t="n">
        <v>0.0008</v>
      </c>
      <c r="W21" t="n">
        <v>0.0009</v>
      </c>
      <c r="X21" t="n">
        <v>0.0028</v>
      </c>
      <c r="Y21" t="n">
        <v>0.0029</v>
      </c>
      <c r="Z21" t="n">
        <v>0.0047</v>
      </c>
      <c r="AA21" t="n">
        <v>0.0037</v>
      </c>
      <c r="AB21" t="n">
        <v>0.0049</v>
      </c>
      <c r="AC21" t="n">
        <v>0.0026</v>
      </c>
      <c r="AD21" t="n">
        <v>0.0011</v>
      </c>
      <c r="AE21" t="n">
        <v>0.0015</v>
      </c>
      <c r="AF21" t="n">
        <v>0.0026</v>
      </c>
      <c r="AG21" t="n">
        <v>0.0029</v>
      </c>
      <c r="AH21" t="n">
        <v>0.0024</v>
      </c>
      <c r="AI21" t="n">
        <v>0.0064</v>
      </c>
      <c r="AJ21" t="n">
        <v>0.006</v>
      </c>
      <c r="AK21" t="n">
        <v>0.0029</v>
      </c>
      <c r="AL21" t="n">
        <v>0.0017</v>
      </c>
      <c r="AM21" t="n">
        <v>0.0012</v>
      </c>
      <c r="AN21" t="n">
        <v>0.0001</v>
      </c>
      <c r="AO21" t="n">
        <v>0.0043</v>
      </c>
      <c r="AP21" t="n">
        <v>0.491924</v>
      </c>
      <c r="AQ21" t="n">
        <v>0.5130710000000001</v>
      </c>
      <c r="AR21" t="n">
        <v>0.533369</v>
      </c>
      <c r="AS21" t="n">
        <v>0.544964</v>
      </c>
      <c r="AT21" t="n">
        <v>0.554798</v>
      </c>
      <c r="AU21" t="n">
        <v>0.555931</v>
      </c>
      <c r="AV21" t="n">
        <v>0.5607490000000001</v>
      </c>
      <c r="AW21" t="n">
        <v>0.561105</v>
      </c>
      <c r="AX21" t="n">
        <v>0.553571</v>
      </c>
      <c r="AY21" t="n">
        <v>0.537434</v>
      </c>
      <c r="AZ21" t="n">
        <v>0.534145</v>
      </c>
      <c r="BA21" t="n">
        <v>0.541848</v>
      </c>
      <c r="BB21" t="n">
        <v>0.540504</v>
      </c>
      <c r="BC21" t="n">
        <v>0.537433</v>
      </c>
      <c r="BD21" t="n">
        <v>0.522998</v>
      </c>
      <c r="BE21" t="n">
        <v>0.515584</v>
      </c>
      <c r="BF21" t="n">
        <v>0.508092</v>
      </c>
      <c r="BG21" t="n">
        <v>0.477635</v>
      </c>
      <c r="BH21" t="n">
        <v>0.468726</v>
      </c>
      <c r="BI21" t="n">
        <v>0.460636</v>
      </c>
      <c r="BJ21" t="n">
        <v>0.477567</v>
      </c>
      <c r="BK21" t="n">
        <v>0.493525</v>
      </c>
      <c r="BL21" t="n">
        <v>0.492981</v>
      </c>
      <c r="BM21" t="n">
        <v>0.5061330000000001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CarbonDelta — Excel doğrulaması (shared/FORMUL.md v1)</t>
        </is>
      </c>
    </row>
    <row r="2">
      <c r="A2" t="inlineStr">
        <is>
          <t>B = SUMPRODUCT(p × kWh[s..s+L-1], CI[s..s+L-1]); S = aynı yük × CI[t..t+L-1]</t>
        </is>
      </c>
    </row>
    <row r="3">
      <c r="A3" t="inlineStr">
        <is>
          <t>fark sütunları 2 ondalıkta 0,00 olmalıdır.</t>
        </is>
      </c>
    </row>
    <row r="4">
      <c r="A4" t="inlineStr">
        <is>
          <t>Örnek yük, Balıkesir tesisi değil · Kaynak: EPİAŞ 2025, ETKB 2023, Zenodo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2026-10-19T12:56:37Z</dcterms:created>
  <dcterms:modified xsi:type="dcterms:W3CDTF">2026-10-19T12:56:37Z</dcterms:modified>
</cp:coreProperties>
</file>